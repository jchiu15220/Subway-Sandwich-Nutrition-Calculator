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15.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29"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jasmn\Documents\Personal Projects\Subway Calculator\"/>
    </mc:Choice>
  </mc:AlternateContent>
  <xr:revisionPtr revIDLastSave="0" documentId="13_ncr:1_{B413EEC7-1378-444D-B1B3-A9469FBEAD8C}" xr6:coauthVersionLast="47" xr6:coauthVersionMax="47" xr10:uidLastSave="{00000000-0000-0000-0000-000000000000}"/>
  <bookViews>
    <workbookView xWindow="-110" yWindow="-110" windowWidth="22780" windowHeight="14660" firstSheet="10" activeTab="10" xr2:uid="{00000000-000D-0000-FFFF-FFFF00000000}"/>
  </bookViews>
  <sheets>
    <sheet name="OG sheet 1" sheetId="1" state="hidden" r:id="rId1"/>
    <sheet name="OG sheet 2" sheetId="2" state="hidden" r:id="rId2"/>
    <sheet name="Cleaned sheet 1" sheetId="3" state="hidden" r:id="rId3"/>
    <sheet name="Meat" sheetId="4" state="hidden" r:id="rId4"/>
    <sheet name="Cleaned sheet 2" sheetId="8" state="hidden" r:id="rId5"/>
    <sheet name="Bread" sheetId="7" state="hidden" r:id="rId6"/>
    <sheet name="Cheese" sheetId="6" state="hidden" r:id="rId7"/>
    <sheet name="Toppings" sheetId="11" state="hidden" r:id="rId8"/>
    <sheet name="Dressing" sheetId="12" state="hidden" r:id="rId9"/>
    <sheet name="Vegetables" sheetId="9" state="hidden" r:id="rId10"/>
    <sheet name="UI" sheetId="14" r:id="rId11"/>
    <sheet name="Nutritional Info" sheetId="16" r:id="rId12"/>
    <sheet name="Calculator" sheetId="13" state="hidden" r:id="rId13"/>
    <sheet name="Formulas" sheetId="15" state="hidden" r:id="rId1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E85" i="16" l="1"/>
  <c r="F85" i="16"/>
  <c r="G85" i="16"/>
  <c r="H85" i="16"/>
  <c r="I85" i="16"/>
  <c r="J85" i="16"/>
  <c r="K85" i="16"/>
  <c r="L85" i="16"/>
  <c r="M85" i="16"/>
  <c r="D84" i="16"/>
  <c r="E68" i="16"/>
  <c r="F68" i="16"/>
  <c r="G68" i="16"/>
  <c r="H68" i="16" s="1"/>
  <c r="I68" i="16" s="1"/>
  <c r="J68" i="16" s="1"/>
  <c r="K68" i="16" s="1"/>
  <c r="L68" i="16" s="1"/>
  <c r="M68" i="16" s="1"/>
  <c r="E69" i="16"/>
  <c r="F69" i="16"/>
  <c r="G69" i="16"/>
  <c r="H69" i="16" s="1"/>
  <c r="I69" i="16" s="1"/>
  <c r="J69" i="16" s="1"/>
  <c r="K69" i="16" s="1"/>
  <c r="L69" i="16" s="1"/>
  <c r="M69" i="16" s="1"/>
  <c r="E70" i="16"/>
  <c r="F70" i="16"/>
  <c r="G70" i="16" s="1"/>
  <c r="H70" i="16" s="1"/>
  <c r="I70" i="16" s="1"/>
  <c r="J70" i="16" s="1"/>
  <c r="K70" i="16" s="1"/>
  <c r="L70" i="16" s="1"/>
  <c r="M70" i="16" s="1"/>
  <c r="E71" i="16"/>
  <c r="F71" i="16" s="1"/>
  <c r="G71" i="16" s="1"/>
  <c r="H71" i="16" s="1"/>
  <c r="I71" i="16" s="1"/>
  <c r="J71" i="16" s="1"/>
  <c r="K71" i="16" s="1"/>
  <c r="L71" i="16" s="1"/>
  <c r="M71" i="16" s="1"/>
  <c r="E72" i="16"/>
  <c r="F72" i="16" s="1"/>
  <c r="G72" i="16" s="1"/>
  <c r="H72" i="16" s="1"/>
  <c r="I72" i="16" s="1"/>
  <c r="J72" i="16" s="1"/>
  <c r="K72" i="16" s="1"/>
  <c r="L72" i="16" s="1"/>
  <c r="M72" i="16" s="1"/>
  <c r="E73" i="16"/>
  <c r="F73" i="16" s="1"/>
  <c r="G73" i="16" s="1"/>
  <c r="H73" i="16" s="1"/>
  <c r="I73" i="16" s="1"/>
  <c r="J73" i="16" s="1"/>
  <c r="K73" i="16" s="1"/>
  <c r="L73" i="16" s="1"/>
  <c r="M73" i="16" s="1"/>
  <c r="E74" i="16"/>
  <c r="F74" i="16"/>
  <c r="G74" i="16"/>
  <c r="H74" i="16"/>
  <c r="I74" i="16"/>
  <c r="J74" i="16"/>
  <c r="K74" i="16" s="1"/>
  <c r="L74" i="16" s="1"/>
  <c r="M74" i="16" s="1"/>
  <c r="E75" i="16"/>
  <c r="F75" i="16"/>
  <c r="G75" i="16"/>
  <c r="H75" i="16"/>
  <c r="I75" i="16"/>
  <c r="J75" i="16" s="1"/>
  <c r="K75" i="16" s="1"/>
  <c r="L75" i="16" s="1"/>
  <c r="M75" i="16" s="1"/>
  <c r="E76" i="16"/>
  <c r="F76" i="16"/>
  <c r="G76" i="16"/>
  <c r="H76" i="16"/>
  <c r="I76" i="16" s="1"/>
  <c r="J76" i="16" s="1"/>
  <c r="K76" i="16" s="1"/>
  <c r="L76" i="16" s="1"/>
  <c r="M76" i="16" s="1"/>
  <c r="E77" i="16"/>
  <c r="F77" i="16"/>
  <c r="G77" i="16"/>
  <c r="H77" i="16" s="1"/>
  <c r="I77" i="16" s="1"/>
  <c r="J77" i="16" s="1"/>
  <c r="K77" i="16" s="1"/>
  <c r="L77" i="16" s="1"/>
  <c r="M77" i="16" s="1"/>
  <c r="E78" i="16"/>
  <c r="F78" i="16"/>
  <c r="G78" i="16" s="1"/>
  <c r="H78" i="16" s="1"/>
  <c r="I78" i="16" s="1"/>
  <c r="J78" i="16" s="1"/>
  <c r="K78" i="16" s="1"/>
  <c r="L78" i="16" s="1"/>
  <c r="M78" i="16" s="1"/>
  <c r="D67" i="16"/>
  <c r="E45" i="16"/>
  <c r="F45" i="16"/>
  <c r="G45" i="16"/>
  <c r="H45" i="16"/>
  <c r="I45" i="16"/>
  <c r="J45" i="16"/>
  <c r="K45" i="16"/>
  <c r="L45" i="16"/>
  <c r="M45" i="16"/>
  <c r="E46" i="16"/>
  <c r="F46" i="16"/>
  <c r="G46" i="16"/>
  <c r="H46" i="16"/>
  <c r="I46" i="16"/>
  <c r="J46" i="16"/>
  <c r="K46" i="16"/>
  <c r="L46" i="16"/>
  <c r="M46" i="16"/>
  <c r="E47" i="16"/>
  <c r="F47" i="16"/>
  <c r="G47" i="16"/>
  <c r="H47" i="16"/>
  <c r="I47" i="16"/>
  <c r="J47" i="16"/>
  <c r="K47" i="16"/>
  <c r="L47" i="16"/>
  <c r="M47" i="16"/>
  <c r="E48" i="16"/>
  <c r="F48" i="16"/>
  <c r="G48" i="16"/>
  <c r="H48" i="16"/>
  <c r="I48" i="16"/>
  <c r="J48" i="16"/>
  <c r="K48" i="16"/>
  <c r="L48" i="16"/>
  <c r="M48" i="16"/>
  <c r="E49" i="16"/>
  <c r="F49" i="16"/>
  <c r="G49" i="16"/>
  <c r="H49" i="16"/>
  <c r="I49" i="16"/>
  <c r="J49" i="16"/>
  <c r="K49" i="16"/>
  <c r="L49" i="16"/>
  <c r="M49" i="16"/>
  <c r="E50" i="16"/>
  <c r="F50" i="16"/>
  <c r="G50" i="16"/>
  <c r="H50" i="16"/>
  <c r="I50" i="16"/>
  <c r="J50" i="16"/>
  <c r="K50" i="16"/>
  <c r="L50" i="16"/>
  <c r="M50" i="16"/>
  <c r="E51" i="16"/>
  <c r="F51" i="16"/>
  <c r="G51" i="16"/>
  <c r="H51" i="16"/>
  <c r="I51" i="16"/>
  <c r="J51" i="16"/>
  <c r="K51" i="16"/>
  <c r="L51" i="16"/>
  <c r="M51" i="16"/>
  <c r="E52" i="16"/>
  <c r="F52" i="16"/>
  <c r="G52" i="16"/>
  <c r="H52" i="16"/>
  <c r="I52" i="16"/>
  <c r="J52" i="16"/>
  <c r="K52" i="16"/>
  <c r="L52" i="16"/>
  <c r="M52" i="16"/>
  <c r="E53" i="16"/>
  <c r="F53" i="16"/>
  <c r="G53" i="16"/>
  <c r="H53" i="16"/>
  <c r="I53" i="16"/>
  <c r="J53" i="16"/>
  <c r="K53" i="16"/>
  <c r="L53" i="16"/>
  <c r="M53" i="16"/>
  <c r="E54" i="16"/>
  <c r="F54" i="16"/>
  <c r="G54" i="16"/>
  <c r="H54" i="16"/>
  <c r="I54" i="16"/>
  <c r="J54" i="16"/>
  <c r="K54" i="16"/>
  <c r="L54" i="16"/>
  <c r="M54" i="16"/>
  <c r="E55" i="16"/>
  <c r="F55" i="16"/>
  <c r="G55" i="16"/>
  <c r="H55" i="16"/>
  <c r="I55" i="16"/>
  <c r="J55" i="16"/>
  <c r="K55" i="16"/>
  <c r="L55" i="16"/>
  <c r="M55" i="16"/>
  <c r="E56" i="16"/>
  <c r="F56" i="16"/>
  <c r="G56" i="16"/>
  <c r="H56" i="16"/>
  <c r="I56" i="16"/>
  <c r="J56" i="16"/>
  <c r="K56" i="16"/>
  <c r="L56" i="16"/>
  <c r="M56" i="16"/>
  <c r="E57" i="16"/>
  <c r="F57" i="16"/>
  <c r="G57" i="16"/>
  <c r="H57" i="16"/>
  <c r="I57" i="16"/>
  <c r="J57" i="16"/>
  <c r="K57" i="16"/>
  <c r="L57" i="16"/>
  <c r="M57" i="16"/>
  <c r="E58" i="16"/>
  <c r="F58" i="16"/>
  <c r="G58" i="16"/>
  <c r="H58" i="16"/>
  <c r="I58" i="16"/>
  <c r="J58" i="16"/>
  <c r="K58" i="16"/>
  <c r="L58" i="16"/>
  <c r="M58" i="16"/>
  <c r="E59" i="16"/>
  <c r="F59" i="16"/>
  <c r="G59" i="16"/>
  <c r="H59" i="16"/>
  <c r="I59" i="16"/>
  <c r="J59" i="16"/>
  <c r="K59" i="16"/>
  <c r="L59" i="16"/>
  <c r="M59" i="16"/>
  <c r="E60" i="16"/>
  <c r="F60" i="16"/>
  <c r="G60" i="16"/>
  <c r="H60" i="16"/>
  <c r="I60" i="16"/>
  <c r="J60" i="16"/>
  <c r="K60" i="16"/>
  <c r="L60" i="16"/>
  <c r="M60" i="16"/>
  <c r="E61" i="16"/>
  <c r="F61" i="16"/>
  <c r="G61" i="16"/>
  <c r="H61" i="16"/>
  <c r="I61" i="16"/>
  <c r="J61" i="16"/>
  <c r="K61" i="16"/>
  <c r="L61" i="16"/>
  <c r="M61" i="16"/>
  <c r="D44" i="16"/>
  <c r="E37" i="16" a="1"/>
  <c r="E37" i="16" s="1"/>
  <c r="E38" i="16" a="1"/>
  <c r="E38" i="16"/>
  <c r="E36" i="16" a="1"/>
  <c r="E36" i="16"/>
  <c r="D37" i="16" a="1"/>
  <c r="D37" i="16" s="1"/>
  <c r="D38" i="16" a="1"/>
  <c r="D38" i="16"/>
  <c r="D36" i="16" a="1"/>
  <c r="D36" i="16" s="1"/>
  <c r="E19" i="16" a="1"/>
  <c r="E19" i="16" s="1"/>
  <c r="E20" i="16" a="1"/>
  <c r="E20" i="16" s="1"/>
  <c r="E21" i="16" a="1"/>
  <c r="E21" i="16"/>
  <c r="E22" i="16" a="1"/>
  <c r="E22" i="16" s="1"/>
  <c r="E23" i="16" a="1"/>
  <c r="E23" i="16" s="1"/>
  <c r="E24" i="16" a="1"/>
  <c r="E24" i="16" s="1"/>
  <c r="E25" i="16" a="1"/>
  <c r="E25" i="16" s="1"/>
  <c r="E26" i="16" a="1"/>
  <c r="E26" i="16"/>
  <c r="E27" i="16" a="1"/>
  <c r="E27" i="16" s="1"/>
  <c r="E28" i="16" a="1"/>
  <c r="E28" i="16" s="1"/>
  <c r="E29" i="16" a="1"/>
  <c r="E29" i="16"/>
  <c r="E30" i="16" a="1"/>
  <c r="E30" i="16"/>
  <c r="E18" i="16" a="1"/>
  <c r="E18" i="16"/>
  <c r="D19" i="16" a="1"/>
  <c r="D19" i="16"/>
  <c r="D20" i="16" a="1"/>
  <c r="D20" i="16"/>
  <c r="D21" i="16" a="1"/>
  <c r="D21" i="16"/>
  <c r="D22" i="16" a="1"/>
  <c r="D22" i="16"/>
  <c r="D23" i="16" a="1"/>
  <c r="D23" i="16" s="1"/>
  <c r="D24" i="16" a="1"/>
  <c r="D24" i="16"/>
  <c r="D25" i="16" a="1"/>
  <c r="D25" i="16"/>
  <c r="D26" i="16" a="1"/>
  <c r="D26" i="16"/>
  <c r="D27" i="16" a="1"/>
  <c r="D27" i="16" s="1"/>
  <c r="D28" i="16" a="1"/>
  <c r="D28" i="16" s="1"/>
  <c r="D29" i="16" a="1"/>
  <c r="D29" i="16"/>
  <c r="D30" i="16" a="1"/>
  <c r="D30" i="16"/>
  <c r="D18" i="16" a="1"/>
  <c r="D18" i="16" s="1"/>
  <c r="E12" i="16" a="1"/>
  <c r="E12" i="16" s="1"/>
  <c r="F12" i="16" a="1"/>
  <c r="F12" i="16" s="1"/>
  <c r="G12" i="16" a="1"/>
  <c r="G12" i="16" s="1"/>
  <c r="H12" i="16" a="1"/>
  <c r="H12" i="16"/>
  <c r="I12" i="16" a="1"/>
  <c r="I12" i="16" s="1"/>
  <c r="J12" i="16" a="1"/>
  <c r="J12" i="16" s="1"/>
  <c r="K12" i="16" a="1"/>
  <c r="K12" i="16" s="1"/>
  <c r="L12" i="16" a="1"/>
  <c r="L12" i="16"/>
  <c r="M12" i="16" a="1"/>
  <c r="M12" i="16" s="1"/>
  <c r="D12" i="16" a="1"/>
  <c r="D12" i="16" s="1"/>
  <c r="E5" i="16" a="1"/>
  <c r="E5" i="16" s="1"/>
  <c r="F5" i="16" a="1"/>
  <c r="F5" i="16"/>
  <c r="G5" i="16" a="1"/>
  <c r="G5" i="16"/>
  <c r="H5" i="16" a="1"/>
  <c r="H5" i="16"/>
  <c r="I5" i="16" a="1"/>
  <c r="I5" i="16" s="1"/>
  <c r="J5" i="16" a="1"/>
  <c r="J5" i="16" s="1"/>
  <c r="K5" i="16" a="1"/>
  <c r="K5" i="16"/>
  <c r="L5" i="16" a="1"/>
  <c r="L5" i="16"/>
  <c r="M5" i="16" a="1"/>
  <c r="M5" i="16" s="1"/>
  <c r="D5" i="16" a="1"/>
  <c r="D5" i="16" s="1"/>
  <c r="K32" i="4" a="1"/>
  <c r="K32" i="4" s="1"/>
  <c r="J32" i="4" a="1"/>
  <c r="J32" i="4" s="1"/>
  <c r="I32" i="4" a="1"/>
  <c r="I32" i="4" s="1"/>
  <c r="H32" i="4" a="1"/>
  <c r="H32" i="4" s="1"/>
  <c r="G32" i="4" a="1"/>
  <c r="G32" i="4" s="1"/>
  <c r="F32" i="4" a="1"/>
  <c r="F32" i="4" s="1"/>
  <c r="E32" i="4" a="1"/>
  <c r="E32" i="4" s="1"/>
  <c r="D32" i="4" a="1"/>
  <c r="D32" i="4" s="1"/>
  <c r="C32" i="4" a="1"/>
  <c r="C32" i="4" s="1"/>
  <c r="B32" i="4" a="1"/>
  <c r="B32" i="4" s="1"/>
  <c r="K31" i="4" a="1"/>
  <c r="K31" i="4" s="1"/>
  <c r="J31" i="4" a="1"/>
  <c r="J31" i="4" s="1"/>
  <c r="I31" i="4" a="1"/>
  <c r="I31" i="4" s="1"/>
  <c r="H31" i="4" a="1"/>
  <c r="H31" i="4" s="1"/>
  <c r="G31" i="4" a="1"/>
  <c r="G31" i="4" s="1"/>
  <c r="F31" i="4" a="1"/>
  <c r="F31" i="4" s="1"/>
  <c r="E31" i="4" a="1"/>
  <c r="E31" i="4" s="1"/>
  <c r="D31" i="4" a="1"/>
  <c r="D31" i="4" s="1"/>
  <c r="C31" i="4" a="1"/>
  <c r="C31" i="4" s="1"/>
  <c r="B31" i="4" a="1"/>
  <c r="B31" i="4" s="1"/>
  <c r="D70" i="16"/>
  <c r="D71" i="16"/>
  <c r="D72" i="16"/>
  <c r="D73" i="16"/>
  <c r="D74" i="16"/>
  <c r="D75" i="16"/>
  <c r="D76" i="16"/>
  <c r="D77" i="16"/>
  <c r="D78" i="16"/>
  <c r="D45" i="16"/>
  <c r="D46" i="16"/>
  <c r="D47" i="16"/>
  <c r="D48" i="16"/>
  <c r="D49" i="16"/>
  <c r="D50" i="16"/>
  <c r="D51" i="16"/>
  <c r="D52" i="16"/>
  <c r="D53" i="16"/>
  <c r="D54" i="16"/>
  <c r="D55" i="16"/>
  <c r="D56" i="16"/>
  <c r="D57" i="16"/>
  <c r="D58" i="16"/>
  <c r="D59" i="16"/>
  <c r="D60" i="16"/>
  <c r="D61" i="16"/>
  <c r="V32" i="14" a="1"/>
  <c r="V32" i="14" s="1"/>
  <c r="V30" i="14" a="1"/>
  <c r="V30" i="14" s="1"/>
  <c r="V28" i="14"/>
  <c r="V26" i="14"/>
  <c r="V25" i="14"/>
  <c r="C67" i="16" a="1"/>
  <c r="C67" i="16" s="1"/>
  <c r="V48" i="14" a="1"/>
  <c r="V48" i="14" s="1"/>
  <c r="V49" i="14" a="1"/>
  <c r="V49" i="14" s="1"/>
  <c r="V50" i="14" a="1"/>
  <c r="V50" i="14" s="1"/>
  <c r="V51" i="14" a="1"/>
  <c r="V51" i="14" s="1"/>
  <c r="C84" i="16" a="1"/>
  <c r="C44" i="16" a="1"/>
  <c r="C36" i="16" a="1"/>
  <c r="C36" i="16" s="1"/>
  <c r="C18" i="16" a="1"/>
  <c r="C18" i="16" s="1"/>
  <c r="G37" i="16" a="1"/>
  <c r="M37" i="16" a="1"/>
  <c r="H38" i="16" a="1"/>
  <c r="L38" i="16" a="1"/>
  <c r="N37" i="16" a="1"/>
  <c r="O37" i="16" a="1"/>
  <c r="H37" i="16" a="1"/>
  <c r="L37" i="16" a="1"/>
  <c r="G38" i="16" a="1"/>
  <c r="K38" i="16" a="1"/>
  <c r="O38" i="16" a="1"/>
  <c r="I37" i="16" a="1"/>
  <c r="J37" i="16" a="1"/>
  <c r="I38" i="16" a="1"/>
  <c r="M38" i="16" a="1"/>
  <c r="K37" i="16" a="1"/>
  <c r="J38" i="16" a="1"/>
  <c r="N38" i="16" a="1"/>
  <c r="F36" i="16" a="1"/>
  <c r="G19" i="16" a="1"/>
  <c r="K19" i="16" a="1"/>
  <c r="O19" i="16" a="1"/>
  <c r="J20" i="16" a="1"/>
  <c r="N20" i="16" a="1"/>
  <c r="I21" i="16" a="1"/>
  <c r="M21" i="16" a="1"/>
  <c r="H22" i="16" a="1"/>
  <c r="G23" i="16" a="1"/>
  <c r="K23" i="16" a="1"/>
  <c r="O23" i="16" a="1"/>
  <c r="N24" i="16" a="1"/>
  <c r="M25" i="16" a="1"/>
  <c r="G27" i="16" a="1"/>
  <c r="O27" i="16" a="1"/>
  <c r="H30" i="16" a="1"/>
  <c r="N28" i="16" a="1"/>
  <c r="H19" i="16" a="1"/>
  <c r="L19" i="16" a="1"/>
  <c r="G20" i="16" a="1"/>
  <c r="K20" i="16" a="1"/>
  <c r="O20" i="16" a="1"/>
  <c r="J21" i="16" a="1"/>
  <c r="N21" i="16" a="1"/>
  <c r="I22" i="16" a="1"/>
  <c r="M22" i="16" a="1"/>
  <c r="H23" i="16" a="1"/>
  <c r="L23" i="16" a="1"/>
  <c r="G24" i="16" a="1"/>
  <c r="K24" i="16" a="1"/>
  <c r="O24" i="16" a="1"/>
  <c r="J25" i="16" a="1"/>
  <c r="N25" i="16" a="1"/>
  <c r="I26" i="16" a="1"/>
  <c r="M26" i="16" a="1"/>
  <c r="H27" i="16" a="1"/>
  <c r="L27" i="16" a="1"/>
  <c r="G28" i="16" a="1"/>
  <c r="K28" i="16" a="1"/>
  <c r="O28" i="16" a="1"/>
  <c r="J29" i="16" a="1"/>
  <c r="N29" i="16" a="1"/>
  <c r="I30" i="16" a="1"/>
  <c r="M30" i="16" a="1"/>
  <c r="J28" i="16" a="1"/>
  <c r="I19" i="16" a="1"/>
  <c r="M19" i="16" a="1"/>
  <c r="H20" i="16" a="1"/>
  <c r="L20" i="16" a="1"/>
  <c r="G21" i="16" a="1"/>
  <c r="K21" i="16" a="1"/>
  <c r="O21" i="16" a="1"/>
  <c r="J22" i="16" a="1"/>
  <c r="N22" i="16" a="1"/>
  <c r="I23" i="16" a="1"/>
  <c r="M23" i="16" a="1"/>
  <c r="H24" i="16" a="1"/>
  <c r="L24" i="16" a="1"/>
  <c r="G25" i="16" a="1"/>
  <c r="K25" i="16" a="1"/>
  <c r="O25" i="16" a="1"/>
  <c r="J26" i="16" a="1"/>
  <c r="N26" i="16" a="1"/>
  <c r="I27" i="16" a="1"/>
  <c r="M27" i="16" a="1"/>
  <c r="H28" i="16" a="1"/>
  <c r="L28" i="16" a="1"/>
  <c r="G29" i="16" a="1"/>
  <c r="K29" i="16" a="1"/>
  <c r="O29" i="16" a="1"/>
  <c r="J30" i="16" a="1"/>
  <c r="N30" i="16" a="1"/>
  <c r="M29" i="16" a="1"/>
  <c r="J19" i="16" a="1"/>
  <c r="N19" i="16" a="1"/>
  <c r="I20" i="16" a="1"/>
  <c r="M20" i="16" a="1"/>
  <c r="H21" i="16" a="1"/>
  <c r="L21" i="16" a="1"/>
  <c r="G22" i="16" a="1"/>
  <c r="K22" i="16" a="1"/>
  <c r="O22" i="16" a="1"/>
  <c r="J23" i="16" a="1"/>
  <c r="N23" i="16" a="1"/>
  <c r="I24" i="16" a="1"/>
  <c r="M24" i="16" a="1"/>
  <c r="H25" i="16" a="1"/>
  <c r="L25" i="16" a="1"/>
  <c r="G26" i="16" a="1"/>
  <c r="K26" i="16" a="1"/>
  <c r="O26" i="16" a="1"/>
  <c r="J27" i="16" a="1"/>
  <c r="N27" i="16" a="1"/>
  <c r="I28" i="16" a="1"/>
  <c r="M28" i="16" a="1"/>
  <c r="H29" i="16" a="1"/>
  <c r="L29" i="16" a="1"/>
  <c r="G30" i="16" a="1"/>
  <c r="K30" i="16" a="1"/>
  <c r="O30" i="16" a="1"/>
  <c r="L22" i="16" a="1"/>
  <c r="J24" i="16" a="1"/>
  <c r="I25" i="16" a="1"/>
  <c r="H26" i="16" a="1"/>
  <c r="L26" i="16" a="1"/>
  <c r="K27" i="16" a="1"/>
  <c r="I29" i="16" a="1"/>
  <c r="L30" i="16" a="1"/>
  <c r="F18" i="16" a="1"/>
  <c r="N38" i="16" l="1"/>
  <c r="J38" i="16"/>
  <c r="K37" i="16"/>
  <c r="M38" i="16"/>
  <c r="I38" i="16"/>
  <c r="J37" i="16"/>
  <c r="I37" i="16"/>
  <c r="O38" i="16"/>
  <c r="K38" i="16"/>
  <c r="G38" i="16"/>
  <c r="L37" i="16"/>
  <c r="H37" i="16"/>
  <c r="O37" i="16"/>
  <c r="N37" i="16"/>
  <c r="L38" i="16"/>
  <c r="H38" i="16"/>
  <c r="M37" i="16"/>
  <c r="G37" i="16"/>
  <c r="F36" i="16"/>
  <c r="L30" i="16"/>
  <c r="I29" i="16"/>
  <c r="K27" i="16"/>
  <c r="L26" i="16"/>
  <c r="H26" i="16"/>
  <c r="I25" i="16"/>
  <c r="J24" i="16"/>
  <c r="L22" i="16"/>
  <c r="O30" i="16"/>
  <c r="K30" i="16"/>
  <c r="G30" i="16"/>
  <c r="L29" i="16"/>
  <c r="H29" i="16"/>
  <c r="M28" i="16"/>
  <c r="I28" i="16"/>
  <c r="N27" i="16"/>
  <c r="J27" i="16"/>
  <c r="O26" i="16"/>
  <c r="K26" i="16"/>
  <c r="G26" i="16"/>
  <c r="L25" i="16"/>
  <c r="H25" i="16"/>
  <c r="M24" i="16"/>
  <c r="I24" i="16"/>
  <c r="N23" i="16"/>
  <c r="J23" i="16"/>
  <c r="O22" i="16"/>
  <c r="K22" i="16"/>
  <c r="G22" i="16"/>
  <c r="L21" i="16"/>
  <c r="H21" i="16"/>
  <c r="M20" i="16"/>
  <c r="I20" i="16"/>
  <c r="N19" i="16"/>
  <c r="J19" i="16"/>
  <c r="M29" i="16"/>
  <c r="N30" i="16"/>
  <c r="J30" i="16"/>
  <c r="O29" i="16"/>
  <c r="K29" i="16"/>
  <c r="G29" i="16"/>
  <c r="L28" i="16"/>
  <c r="H28" i="16"/>
  <c r="M27" i="16"/>
  <c r="I27" i="16"/>
  <c r="N26" i="16"/>
  <c r="J26" i="16"/>
  <c r="O25" i="16"/>
  <c r="K25" i="16"/>
  <c r="G25" i="16"/>
  <c r="L24" i="16"/>
  <c r="H24" i="16"/>
  <c r="M23" i="16"/>
  <c r="I23" i="16"/>
  <c r="N22" i="16"/>
  <c r="J22" i="16"/>
  <c r="O21" i="16"/>
  <c r="K21" i="16"/>
  <c r="G21" i="16"/>
  <c r="L20" i="16"/>
  <c r="H20" i="16"/>
  <c r="M19" i="16"/>
  <c r="I19" i="16"/>
  <c r="J28" i="16"/>
  <c r="M30" i="16"/>
  <c r="I30" i="16"/>
  <c r="N29" i="16"/>
  <c r="J29" i="16"/>
  <c r="O28" i="16"/>
  <c r="K28" i="16"/>
  <c r="G28" i="16"/>
  <c r="L27" i="16"/>
  <c r="H27" i="16"/>
  <c r="M26" i="16"/>
  <c r="I26" i="16"/>
  <c r="N25" i="16"/>
  <c r="J25" i="16"/>
  <c r="O24" i="16"/>
  <c r="K24" i="16"/>
  <c r="G24" i="16"/>
  <c r="L23" i="16"/>
  <c r="H23" i="16"/>
  <c r="M22" i="16"/>
  <c r="I22" i="16"/>
  <c r="N21" i="16"/>
  <c r="J21" i="16"/>
  <c r="O20" i="16"/>
  <c r="K20" i="16"/>
  <c r="G20" i="16"/>
  <c r="L19" i="16"/>
  <c r="H19" i="16"/>
  <c r="N28" i="16"/>
  <c r="H30" i="16"/>
  <c r="O27" i="16"/>
  <c r="G27" i="16"/>
  <c r="M25" i="16"/>
  <c r="N24" i="16"/>
  <c r="O23" i="16"/>
  <c r="K23" i="16"/>
  <c r="G23" i="16"/>
  <c r="H22" i="16"/>
  <c r="M21" i="16"/>
  <c r="I21" i="16"/>
  <c r="N20" i="16"/>
  <c r="J20" i="16"/>
  <c r="O19" i="16"/>
  <c r="K19" i="16"/>
  <c r="G19" i="16"/>
  <c r="F18" i="16"/>
  <c r="D69" i="16"/>
  <c r="D85" i="16"/>
  <c r="D68" i="16"/>
  <c r="E67" i="16"/>
  <c r="F67" i="16" s="1"/>
  <c r="G67" i="16" s="1"/>
  <c r="H67" i="16" s="1"/>
  <c r="I67" i="16" s="1"/>
  <c r="J67" i="16" s="1"/>
  <c r="K67" i="16" s="1"/>
  <c r="L67" i="16" s="1"/>
  <c r="M67" i="16" s="1"/>
  <c r="C84" i="16"/>
  <c r="C44" i="16"/>
  <c r="F30" i="16" a="1"/>
  <c r="F38" i="16" a="1"/>
  <c r="F25" i="16" a="1"/>
  <c r="F28" i="16" a="1"/>
  <c r="F26" i="16" a="1"/>
  <c r="F37" i="16" a="1"/>
  <c r="F27" i="16" a="1"/>
  <c r="F29" i="16" a="1"/>
  <c r="F19" i="16" a="1"/>
  <c r="F21" i="16" a="1"/>
  <c r="F23" i="16" a="1"/>
  <c r="F20" i="16" a="1"/>
  <c r="F24" i="16" a="1"/>
  <c r="F22" i="16" a="1"/>
  <c r="F29" i="16" l="1"/>
  <c r="F27" i="16"/>
  <c r="F37" i="16"/>
  <c r="F26" i="16"/>
  <c r="F28" i="16"/>
  <c r="F25" i="16"/>
  <c r="F38" i="16"/>
  <c r="F30" i="16"/>
  <c r="F24" i="16"/>
  <c r="E31" i="16"/>
  <c r="F23" i="16"/>
  <c r="E39" i="16"/>
  <c r="F22" i="16"/>
  <c r="F21" i="16"/>
  <c r="F19" i="16"/>
  <c r="F20" i="16"/>
  <c r="L44" i="16"/>
  <c r="E44" i="16"/>
  <c r="M44" i="16"/>
  <c r="F44" i="16"/>
  <c r="G44" i="16"/>
  <c r="J44" i="16"/>
  <c r="H44" i="16"/>
  <c r="I44" i="16"/>
  <c r="K44" i="16"/>
  <c r="J84" i="16"/>
  <c r="K84" i="16"/>
  <c r="E84" i="16"/>
  <c r="M84" i="16"/>
  <c r="L84" i="16"/>
  <c r="F84" i="16"/>
  <c r="G84" i="16"/>
  <c r="H84" i="16"/>
  <c r="I84" i="16"/>
  <c r="G18" i="16" a="1"/>
  <c r="I18" i="16" a="1"/>
  <c r="M18" i="16" a="1"/>
  <c r="J36" i="16" a="1"/>
  <c r="N18" i="16" a="1"/>
  <c r="L36" i="16" a="1"/>
  <c r="H18" i="16" a="1"/>
  <c r="N36" i="16" a="1"/>
  <c r="K36" i="16" a="1"/>
  <c r="I36" i="16" a="1"/>
  <c r="G36" i="16" a="1"/>
  <c r="O18" i="16" a="1"/>
  <c r="J18" i="16" a="1"/>
  <c r="O36" i="16" a="1"/>
  <c r="L18" i="16" a="1"/>
  <c r="H36" i="16" a="1"/>
  <c r="K18" i="16" a="1"/>
  <c r="M36" i="16" a="1"/>
  <c r="F39" i="16" l="1"/>
  <c r="D39" i="16"/>
  <c r="D31" i="16"/>
  <c r="I36" i="16"/>
  <c r="L36" i="16"/>
  <c r="H36" i="16"/>
  <c r="H39" i="16" s="1"/>
  <c r="N36" i="16"/>
  <c r="M36" i="16"/>
  <c r="J36" i="16"/>
  <c r="O36" i="16"/>
  <c r="K36" i="16"/>
  <c r="G36" i="16"/>
  <c r="G39" i="16" s="1"/>
  <c r="O18" i="16"/>
  <c r="M18" i="16"/>
  <c r="I18" i="16"/>
  <c r="K18" i="16"/>
  <c r="N18" i="16"/>
  <c r="G18" i="16"/>
  <c r="J18" i="16"/>
  <c r="L18" i="16"/>
  <c r="H18" i="16"/>
  <c r="AC37" i="14"/>
  <c r="AC38" i="14"/>
  <c r="AC39" i="14"/>
  <c r="AC40" i="14"/>
  <c r="AC41" i="14"/>
  <c r="AC42" i="14"/>
  <c r="AC43" i="14"/>
  <c r="AC44" i="14"/>
  <c r="AC45" i="14"/>
  <c r="AC46" i="14"/>
  <c r="AC47" i="14"/>
  <c r="AC48" i="14"/>
  <c r="AC49" i="14"/>
  <c r="AC50" i="14"/>
  <c r="AC51" i="14"/>
  <c r="C23" i="13" l="1"/>
  <c r="C22" i="13"/>
  <c r="C21" i="13"/>
  <c r="C7" i="13"/>
  <c r="C8" i="13"/>
  <c r="C9" i="13"/>
  <c r="C10" i="13"/>
  <c r="C11" i="13"/>
  <c r="C12" i="13"/>
  <c r="C13" i="13"/>
  <c r="C14" i="13"/>
  <c r="C15" i="13"/>
  <c r="C16" i="13"/>
  <c r="C17" i="13"/>
  <c r="C18" i="13"/>
  <c r="C6" i="13"/>
  <c r="X35" i="14" l="1" a="1"/>
  <c r="W35" i="14" a="1"/>
  <c r="W35" i="14" s="1"/>
  <c r="T35" i="14" a="1"/>
  <c r="H29" i="14"/>
  <c r="H27" i="14"/>
  <c r="C5" i="16"/>
  <c r="C6" i="16"/>
  <c r="H13" i="14"/>
  <c r="H11" i="14"/>
  <c r="H12" i="14"/>
  <c r="H14" i="14"/>
  <c r="H17" i="14"/>
  <c r="H18" i="14"/>
  <c r="H19" i="14"/>
  <c r="H20" i="14"/>
  <c r="H21" i="14"/>
  <c r="H22" i="14"/>
  <c r="H23" i="14"/>
  <c r="C12" i="16"/>
  <c r="AC36" i="14"/>
  <c r="V47" i="14" a="1"/>
  <c r="V46" i="14" a="1"/>
  <c r="V45" i="14" a="1"/>
  <c r="V44" i="14" a="1"/>
  <c r="V43" i="14" a="1"/>
  <c r="V42" i="14" a="1"/>
  <c r="V41" i="14" a="1"/>
  <c r="V40" i="14" a="1"/>
  <c r="V39" i="14" a="1"/>
  <c r="V38" i="14" a="1"/>
  <c r="V37" i="14" a="1"/>
  <c r="V36" i="14" a="1"/>
  <c r="V47" i="14" l="1"/>
  <c r="V46" i="14"/>
  <c r="V45" i="14"/>
  <c r="V44" i="14"/>
  <c r="V36" i="14"/>
  <c r="V39" i="14"/>
  <c r="V38" i="14"/>
  <c r="V37" i="14"/>
  <c r="V43" i="14"/>
  <c r="V40" i="14"/>
  <c r="V42" i="14"/>
  <c r="V41" i="14"/>
  <c r="X35" i="14"/>
  <c r="T35" i="14"/>
  <c r="AC35" i="14" a="1"/>
  <c r="V35" i="14" a="1"/>
  <c r="K13" i="16" l="1"/>
  <c r="F13" i="16"/>
  <c r="E13" i="16"/>
  <c r="J13" i="16"/>
  <c r="I13" i="16"/>
  <c r="D13" i="16"/>
  <c r="M13" i="16"/>
  <c r="G13" i="16"/>
  <c r="L13" i="16"/>
  <c r="H13" i="16"/>
  <c r="D7" i="16"/>
  <c r="M7" i="16"/>
  <c r="G7" i="16"/>
  <c r="F7" i="16"/>
  <c r="L7" i="16"/>
  <c r="I7" i="16"/>
  <c r="H7" i="16"/>
  <c r="K7" i="16"/>
  <c r="E7" i="16"/>
  <c r="J7" i="16"/>
  <c r="AC35" i="14"/>
  <c r="O39" i="16"/>
  <c r="I39" i="16"/>
  <c r="L39" i="16"/>
  <c r="M39" i="16"/>
  <c r="K39" i="16"/>
  <c r="J39" i="16"/>
  <c r="N39" i="16"/>
  <c r="V35" i="14"/>
  <c r="E62" i="16"/>
  <c r="F62" i="16"/>
  <c r="D62" i="16"/>
  <c r="G62" i="16"/>
  <c r="G4" i="4" l="1" a="1"/>
  <c r="G4" i="4" s="1"/>
  <c r="G10" i="4" a="1"/>
  <c r="G10" i="4" s="1"/>
  <c r="G18" i="4" a="1"/>
  <c r="G18" i="4" s="1"/>
  <c r="G25" i="4" a="1"/>
  <c r="G25" i="4" s="1"/>
  <c r="G8" i="4" a="1"/>
  <c r="G8" i="4" s="1"/>
  <c r="G3" i="4" a="1"/>
  <c r="G3" i="4" s="1"/>
  <c r="G5" i="4" a="1"/>
  <c r="G5" i="4" s="1"/>
  <c r="G11" i="4" a="1"/>
  <c r="G11" i="4" s="1"/>
  <c r="G19" i="4" a="1"/>
  <c r="G19" i="4" s="1"/>
  <c r="G26" i="4" a="1"/>
  <c r="G26" i="4" s="1"/>
  <c r="G7" i="4" a="1"/>
  <c r="G7" i="4" s="1"/>
  <c r="G23" i="4" a="1"/>
  <c r="G23" i="4" s="1"/>
  <c r="G12" i="4" a="1"/>
  <c r="G12" i="4" s="1"/>
  <c r="G20" i="4" a="1"/>
  <c r="G20" i="4" s="1"/>
  <c r="G15" i="4" a="1"/>
  <c r="G15" i="4" s="1"/>
  <c r="G17" i="4" a="1"/>
  <c r="G17" i="4" s="1"/>
  <c r="G2" i="4" a="1"/>
  <c r="G2" i="4" s="1"/>
  <c r="G6" i="4" a="1"/>
  <c r="G6" i="4" s="1"/>
  <c r="G13" i="4" a="1"/>
  <c r="G13" i="4" s="1"/>
  <c r="G21" i="4" a="1"/>
  <c r="G21" i="4" s="1"/>
  <c r="G27" i="4" a="1"/>
  <c r="G27" i="4" s="1"/>
  <c r="G24" i="4" a="1"/>
  <c r="G24" i="4" s="1"/>
  <c r="G14" i="4" a="1"/>
  <c r="G14" i="4" s="1"/>
  <c r="G22" i="4" a="1"/>
  <c r="G22" i="4" s="1"/>
  <c r="G16" i="4" a="1"/>
  <c r="G16" i="4" s="1"/>
  <c r="G9" i="4" a="1"/>
  <c r="G9" i="4" s="1"/>
  <c r="C4" i="4" a="1"/>
  <c r="C4" i="4" s="1"/>
  <c r="C12" i="4" a="1"/>
  <c r="C12" i="4" s="1"/>
  <c r="C20" i="4" a="1"/>
  <c r="C20" i="4" s="1"/>
  <c r="C18" i="4" a="1"/>
  <c r="C18" i="4" s="1"/>
  <c r="C11" i="4" a="1"/>
  <c r="C11" i="4" s="1"/>
  <c r="C5" i="4" a="1"/>
  <c r="C5" i="4" s="1"/>
  <c r="C13" i="4" a="1"/>
  <c r="C13" i="4" s="1"/>
  <c r="C21" i="4" a="1"/>
  <c r="C21" i="4" s="1"/>
  <c r="C17" i="4" a="1"/>
  <c r="C17" i="4" s="1"/>
  <c r="C10" i="4" a="1"/>
  <c r="C10" i="4" s="1"/>
  <c r="C6" i="4" a="1"/>
  <c r="C6" i="4" s="1"/>
  <c r="C14" i="4" a="1"/>
  <c r="C14" i="4" s="1"/>
  <c r="C22" i="4" a="1"/>
  <c r="C22" i="4" s="1"/>
  <c r="C2" i="4" a="1"/>
  <c r="C2" i="4" s="1"/>
  <c r="C25" i="4" a="1"/>
  <c r="C25" i="4" s="1"/>
  <c r="C19" i="4" a="1"/>
  <c r="C19" i="4" s="1"/>
  <c r="C7" i="4" a="1"/>
  <c r="C7" i="4" s="1"/>
  <c r="C15" i="4" a="1"/>
  <c r="C15" i="4" s="1"/>
  <c r="C23" i="4" a="1"/>
  <c r="C23" i="4" s="1"/>
  <c r="C9" i="4" a="1"/>
  <c r="C9" i="4" s="1"/>
  <c r="C26" i="4" a="1"/>
  <c r="C26" i="4" s="1"/>
  <c r="C27" i="4" a="1"/>
  <c r="C27" i="4" s="1"/>
  <c r="C8" i="4" a="1"/>
  <c r="C8" i="4" s="1"/>
  <c r="C16" i="4" a="1"/>
  <c r="C16" i="4" s="1"/>
  <c r="C24" i="4" a="1"/>
  <c r="C24" i="4" s="1"/>
  <c r="C3" i="4" a="1"/>
  <c r="C3" i="4" s="1"/>
  <c r="J7" i="4" a="1"/>
  <c r="J7" i="4" s="1"/>
  <c r="J14" i="4" a="1"/>
  <c r="J14" i="4" s="1"/>
  <c r="J21" i="4" a="1"/>
  <c r="J21" i="4" s="1"/>
  <c r="J27" i="4" a="1"/>
  <c r="J27" i="4" s="1"/>
  <c r="J25" i="4" a="1"/>
  <c r="J25" i="4" s="1"/>
  <c r="J12" i="4" a="1"/>
  <c r="J12" i="4" s="1"/>
  <c r="J8" i="4" a="1"/>
  <c r="J8" i="4" s="1"/>
  <c r="J15" i="4" a="1"/>
  <c r="J15" i="4" s="1"/>
  <c r="J22" i="4" a="1"/>
  <c r="J22" i="4" s="1"/>
  <c r="J5" i="4" a="1"/>
  <c r="J5" i="4" s="1"/>
  <c r="J9" i="4" a="1"/>
  <c r="J9" i="4" s="1"/>
  <c r="J16" i="4" a="1"/>
  <c r="J16" i="4" s="1"/>
  <c r="J6" i="4" a="1"/>
  <c r="J6" i="4" s="1"/>
  <c r="J19" i="4" a="1"/>
  <c r="J19" i="4" s="1"/>
  <c r="J13" i="4" a="1"/>
  <c r="J13" i="4" s="1"/>
  <c r="J3" i="4" a="1"/>
  <c r="J3" i="4" s="1"/>
  <c r="J10" i="4" a="1"/>
  <c r="J10" i="4" s="1"/>
  <c r="J17" i="4" a="1"/>
  <c r="J17" i="4" s="1"/>
  <c r="J23" i="4" a="1"/>
  <c r="J23" i="4" s="1"/>
  <c r="J26" i="4" a="1"/>
  <c r="J26" i="4" s="1"/>
  <c r="J4" i="4" a="1"/>
  <c r="J4" i="4" s="1"/>
  <c r="J18" i="4" a="1"/>
  <c r="J18" i="4" s="1"/>
  <c r="J24" i="4" a="1"/>
  <c r="J24" i="4" s="1"/>
  <c r="J2" i="4" a="1"/>
  <c r="J2" i="4" s="1"/>
  <c r="J11" i="4" a="1"/>
  <c r="J11" i="4" s="1"/>
  <c r="J20" i="4" a="1"/>
  <c r="J20" i="4" s="1"/>
  <c r="H14" i="4" a="1"/>
  <c r="H14" i="4" s="1"/>
  <c r="H26" i="4" a="1"/>
  <c r="H26" i="4" s="1"/>
  <c r="H7" i="4" a="1"/>
  <c r="H7" i="4" s="1"/>
  <c r="H15" i="4" a="1"/>
  <c r="H15" i="4" s="1"/>
  <c r="H22" i="4" a="1"/>
  <c r="H22" i="4" s="1"/>
  <c r="H12" i="4" a="1"/>
  <c r="H12" i="4" s="1"/>
  <c r="H13" i="4" a="1"/>
  <c r="H13" i="4" s="1"/>
  <c r="H8" i="4" a="1"/>
  <c r="H8" i="4" s="1"/>
  <c r="H16" i="4" a="1"/>
  <c r="H16" i="4" s="1"/>
  <c r="H23" i="4" a="1"/>
  <c r="H23" i="4" s="1"/>
  <c r="H4" i="4" a="1"/>
  <c r="H4" i="4" s="1"/>
  <c r="H20" i="4" a="1"/>
  <c r="H20" i="4" s="1"/>
  <c r="H9" i="4" a="1"/>
  <c r="H9" i="4" s="1"/>
  <c r="H17" i="4" a="1"/>
  <c r="H17" i="4" s="1"/>
  <c r="H24" i="4" a="1"/>
  <c r="H24" i="4" s="1"/>
  <c r="H19" i="4" a="1"/>
  <c r="H19" i="4" s="1"/>
  <c r="H27" i="4" a="1"/>
  <c r="H27" i="4" s="1"/>
  <c r="H21" i="4" a="1"/>
  <c r="H21" i="4" s="1"/>
  <c r="H3" i="4" a="1"/>
  <c r="H3" i="4" s="1"/>
  <c r="H10" i="4" a="1"/>
  <c r="H10" i="4" s="1"/>
  <c r="H18" i="4" a="1"/>
  <c r="H18" i="4" s="1"/>
  <c r="H25" i="4" a="1"/>
  <c r="H25" i="4" s="1"/>
  <c r="H11" i="4" a="1"/>
  <c r="H11" i="4" s="1"/>
  <c r="H5" i="4" a="1"/>
  <c r="H5" i="4" s="1"/>
  <c r="H2" i="4" a="1"/>
  <c r="H2" i="4" s="1"/>
  <c r="H6" i="4" a="1"/>
  <c r="H6" i="4" s="1"/>
  <c r="I9" i="4" a="1"/>
  <c r="I9" i="4" s="1"/>
  <c r="I17" i="4" a="1"/>
  <c r="I17" i="4" s="1"/>
  <c r="I24" i="4" a="1"/>
  <c r="I24" i="4" s="1"/>
  <c r="I15" i="4" a="1"/>
  <c r="I15" i="4" s="1"/>
  <c r="I16" i="4" a="1"/>
  <c r="I16" i="4" s="1"/>
  <c r="I3" i="4" a="1"/>
  <c r="I3" i="4" s="1"/>
  <c r="I10" i="4" a="1"/>
  <c r="I10" i="4" s="1"/>
  <c r="I18" i="4" a="1"/>
  <c r="I18" i="4" s="1"/>
  <c r="I25" i="4" a="1"/>
  <c r="I25" i="4" s="1"/>
  <c r="I22" i="4" a="1"/>
  <c r="I22" i="4" s="1"/>
  <c r="I2" i="4" a="1"/>
  <c r="I2" i="4" s="1"/>
  <c r="I7" i="4" a="1"/>
  <c r="I7" i="4" s="1"/>
  <c r="I4" i="4" a="1"/>
  <c r="I4" i="4" s="1"/>
  <c r="I11" i="4" a="1"/>
  <c r="I11" i="4" s="1"/>
  <c r="I19" i="4" a="1"/>
  <c r="I19" i="4" s="1"/>
  <c r="I26" i="4" a="1"/>
  <c r="I26" i="4" s="1"/>
  <c r="I23" i="4" a="1"/>
  <c r="I23" i="4" s="1"/>
  <c r="I5" i="4" a="1"/>
  <c r="I5" i="4" s="1"/>
  <c r="I12" i="4" a="1"/>
  <c r="I12" i="4" s="1"/>
  <c r="I20" i="4" a="1"/>
  <c r="I20" i="4" s="1"/>
  <c r="I27" i="4" a="1"/>
  <c r="I27" i="4" s="1"/>
  <c r="I14" i="4" a="1"/>
  <c r="I14" i="4" s="1"/>
  <c r="I8" i="4" a="1"/>
  <c r="I8" i="4" s="1"/>
  <c r="I6" i="4" a="1"/>
  <c r="I6" i="4" s="1"/>
  <c r="I13" i="4" a="1"/>
  <c r="I13" i="4" s="1"/>
  <c r="I21" i="4" a="1"/>
  <c r="I21" i="4" s="1"/>
  <c r="K3" i="4" a="1"/>
  <c r="K3" i="4" s="1"/>
  <c r="K8" i="4" a="1"/>
  <c r="K8" i="4" s="1"/>
  <c r="K17" i="4" a="1"/>
  <c r="K17" i="4" s="1"/>
  <c r="K26" i="4" a="1"/>
  <c r="K26" i="4" s="1"/>
  <c r="K7" i="4" a="1"/>
  <c r="K7" i="4" s="1"/>
  <c r="K4" i="4" a="1"/>
  <c r="K4" i="4" s="1"/>
  <c r="K13" i="4" a="1"/>
  <c r="K13" i="4" s="1"/>
  <c r="K22" i="4" a="1"/>
  <c r="K22" i="4" s="1"/>
  <c r="K11" i="4" a="1"/>
  <c r="K11" i="4" s="1"/>
  <c r="K21" i="4" a="1"/>
  <c r="K21" i="4" s="1"/>
  <c r="K9" i="4" a="1"/>
  <c r="K9" i="4" s="1"/>
  <c r="K18" i="4" a="1"/>
  <c r="K18" i="4" s="1"/>
  <c r="K27" i="4" a="1"/>
  <c r="K27" i="4" s="1"/>
  <c r="K2" i="4" a="1"/>
  <c r="K2" i="4" s="1"/>
  <c r="K15" i="4" a="1"/>
  <c r="K15" i="4" s="1"/>
  <c r="K5" i="4" a="1"/>
  <c r="K5" i="4" s="1"/>
  <c r="K14" i="4" a="1"/>
  <c r="K14" i="4" s="1"/>
  <c r="K23" i="4" a="1"/>
  <c r="K23" i="4" s="1"/>
  <c r="K20" i="4" a="1"/>
  <c r="K20" i="4" s="1"/>
  <c r="K16" i="4" a="1"/>
  <c r="K16" i="4" s="1"/>
  <c r="K10" i="4" a="1"/>
  <c r="K10" i="4" s="1"/>
  <c r="K19" i="4" a="1"/>
  <c r="K19" i="4" s="1"/>
  <c r="K24" i="4" a="1"/>
  <c r="K24" i="4" s="1"/>
  <c r="K6" i="4" a="1"/>
  <c r="K6" i="4" s="1"/>
  <c r="K25" i="4" a="1"/>
  <c r="K25" i="4" s="1"/>
  <c r="K12" i="4" a="1"/>
  <c r="K12" i="4" s="1"/>
  <c r="E6" i="4" a="1"/>
  <c r="E6" i="4" s="1"/>
  <c r="E14" i="4" a="1"/>
  <c r="E14" i="4" s="1"/>
  <c r="E22" i="4" a="1"/>
  <c r="E22" i="4" s="1"/>
  <c r="E3" i="4" a="1"/>
  <c r="E3" i="4" s="1"/>
  <c r="E21" i="4" a="1"/>
  <c r="E21" i="4" s="1"/>
  <c r="E7" i="4" a="1"/>
  <c r="E7" i="4" s="1"/>
  <c r="E15" i="4" a="1"/>
  <c r="E15" i="4" s="1"/>
  <c r="E23" i="4" a="1"/>
  <c r="E23" i="4" s="1"/>
  <c r="E2" i="4" a="1"/>
  <c r="E2" i="4" s="1"/>
  <c r="E27" i="4" a="1"/>
  <c r="E27" i="4" s="1"/>
  <c r="E20" i="4" a="1"/>
  <c r="E20" i="4" s="1"/>
  <c r="E8" i="4" a="1"/>
  <c r="E8" i="4" s="1"/>
  <c r="E16" i="4" a="1"/>
  <c r="E16" i="4" s="1"/>
  <c r="E24" i="4" a="1"/>
  <c r="E24" i="4" s="1"/>
  <c r="E12" i="4" a="1"/>
  <c r="E12" i="4" s="1"/>
  <c r="E5" i="4" a="1"/>
  <c r="E5" i="4" s="1"/>
  <c r="E9" i="4" a="1"/>
  <c r="E9" i="4" s="1"/>
  <c r="E17" i="4" a="1"/>
  <c r="E17" i="4" s="1"/>
  <c r="E25" i="4" a="1"/>
  <c r="E25" i="4" s="1"/>
  <c r="E19" i="4" a="1"/>
  <c r="E19" i="4" s="1"/>
  <c r="E13" i="4" a="1"/>
  <c r="E13" i="4" s="1"/>
  <c r="E10" i="4" a="1"/>
  <c r="E10" i="4" s="1"/>
  <c r="E18" i="4" a="1"/>
  <c r="E18" i="4" s="1"/>
  <c r="E26" i="4" a="1"/>
  <c r="E26" i="4" s="1"/>
  <c r="E11" i="4" a="1"/>
  <c r="E11" i="4" s="1"/>
  <c r="E4" i="4" a="1"/>
  <c r="E4" i="4" s="1"/>
  <c r="D5" i="4" a="1"/>
  <c r="D5" i="4" s="1"/>
  <c r="D13" i="4" a="1"/>
  <c r="D13" i="4" s="1"/>
  <c r="D21" i="4" a="1"/>
  <c r="D21" i="4" s="1"/>
  <c r="D2" i="4" a="1"/>
  <c r="D2" i="4" s="1"/>
  <c r="D18" i="4" a="1"/>
  <c r="D18" i="4" s="1"/>
  <c r="D3" i="4" a="1"/>
  <c r="D3" i="4" s="1"/>
  <c r="D6" i="4" a="1"/>
  <c r="D6" i="4" s="1"/>
  <c r="D14" i="4" a="1"/>
  <c r="D14" i="4" s="1"/>
  <c r="D22" i="4" a="1"/>
  <c r="D22" i="4" s="1"/>
  <c r="D7" i="4" a="1"/>
  <c r="D7" i="4" s="1"/>
  <c r="D15" i="4" a="1"/>
  <c r="D15" i="4" s="1"/>
  <c r="D23" i="4" a="1"/>
  <c r="D23" i="4" s="1"/>
  <c r="D10" i="4" a="1"/>
  <c r="D10" i="4" s="1"/>
  <c r="D27" i="4" a="1"/>
  <c r="D27" i="4" s="1"/>
  <c r="D12" i="4" a="1"/>
  <c r="D12" i="4" s="1"/>
  <c r="D8" i="4" a="1"/>
  <c r="D8" i="4" s="1"/>
  <c r="D16" i="4" a="1"/>
  <c r="D16" i="4" s="1"/>
  <c r="D24" i="4" a="1"/>
  <c r="D24" i="4" s="1"/>
  <c r="D11" i="4" a="1"/>
  <c r="D11" i="4" s="1"/>
  <c r="D20" i="4" a="1"/>
  <c r="D20" i="4" s="1"/>
  <c r="D9" i="4" a="1"/>
  <c r="D9" i="4" s="1"/>
  <c r="D17" i="4" a="1"/>
  <c r="D17" i="4" s="1"/>
  <c r="D25" i="4" a="1"/>
  <c r="D25" i="4" s="1"/>
  <c r="D26" i="4" a="1"/>
  <c r="D26" i="4" s="1"/>
  <c r="D19" i="4" a="1"/>
  <c r="D19" i="4" s="1"/>
  <c r="D4" i="4" a="1"/>
  <c r="D4" i="4" s="1"/>
  <c r="F7" i="4" a="1"/>
  <c r="F7" i="4" s="1"/>
  <c r="F15" i="4" a="1"/>
  <c r="F15" i="4" s="1"/>
  <c r="F23" i="4" a="1"/>
  <c r="F23" i="4" s="1"/>
  <c r="F2" i="4" a="1"/>
  <c r="F2" i="4" s="1"/>
  <c r="F13" i="4" a="1"/>
  <c r="F13" i="4" s="1"/>
  <c r="F14" i="4" a="1"/>
  <c r="F14" i="4" s="1"/>
  <c r="F8" i="4" a="1"/>
  <c r="F8" i="4" s="1"/>
  <c r="F16" i="4" a="1"/>
  <c r="F16" i="4" s="1"/>
  <c r="F24" i="4" a="1"/>
  <c r="F24" i="4" s="1"/>
  <c r="F12" i="4" a="1"/>
  <c r="F12" i="4" s="1"/>
  <c r="F6" i="4" a="1"/>
  <c r="F6" i="4" s="1"/>
  <c r="F9" i="4" a="1"/>
  <c r="F9" i="4" s="1"/>
  <c r="F17" i="4" a="1"/>
  <c r="F17" i="4" s="1"/>
  <c r="F25" i="4" a="1"/>
  <c r="F25" i="4" s="1"/>
  <c r="F20" i="4" a="1"/>
  <c r="F20" i="4" s="1"/>
  <c r="F5" i="4" a="1"/>
  <c r="F5" i="4" s="1"/>
  <c r="F10" i="4" a="1"/>
  <c r="F10" i="4" s="1"/>
  <c r="F18" i="4" a="1"/>
  <c r="F18" i="4" s="1"/>
  <c r="F26" i="4" a="1"/>
  <c r="F26" i="4" s="1"/>
  <c r="F4" i="4" a="1"/>
  <c r="F4" i="4" s="1"/>
  <c r="F21" i="4" a="1"/>
  <c r="F21" i="4" s="1"/>
  <c r="F3" i="4" a="1"/>
  <c r="F3" i="4" s="1"/>
  <c r="F11" i="4" a="1"/>
  <c r="F11" i="4" s="1"/>
  <c r="F19" i="4" a="1"/>
  <c r="F19" i="4" s="1"/>
  <c r="F27" i="4" a="1"/>
  <c r="F27" i="4" s="1"/>
  <c r="F22" i="4" a="1"/>
  <c r="F22" i="4" s="1"/>
  <c r="L79" i="16"/>
  <c r="D79" i="16"/>
  <c r="G79" i="16"/>
  <c r="M79" i="16"/>
  <c r="J79" i="16"/>
  <c r="K79" i="16"/>
  <c r="F79" i="16"/>
  <c r="E79" i="16"/>
  <c r="I79" i="16"/>
  <c r="H79" i="16"/>
  <c r="D86" i="16"/>
  <c r="E86" i="16"/>
  <c r="H62" i="16"/>
  <c r="H31" i="16" l="1"/>
  <c r="J31" i="16"/>
  <c r="N31" i="16"/>
  <c r="K31" i="16"/>
  <c r="G31" i="16"/>
  <c r="D92" i="16" s="1"/>
  <c r="AF28" i="14" s="1"/>
  <c r="M31" i="16"/>
  <c r="I31" i="16"/>
  <c r="F31" i="16"/>
  <c r="D91" i="16" s="1"/>
  <c r="AF27" i="14" s="1"/>
  <c r="L31" i="16"/>
  <c r="O31" i="16"/>
  <c r="F86" i="16"/>
  <c r="I62" i="16"/>
  <c r="D93" i="16" l="1"/>
  <c r="AF29" i="14" s="1"/>
  <c r="G86" i="16"/>
  <c r="D94" i="16" s="1"/>
  <c r="AF30" i="14" s="1"/>
  <c r="J62" i="16"/>
  <c r="H86" i="16" l="1"/>
  <c r="D95" i="16" s="1"/>
  <c r="AF31" i="14" s="1"/>
  <c r="K62" i="16"/>
  <c r="I86" i="16" l="1"/>
  <c r="D96" i="16" s="1"/>
  <c r="AF32" i="14" s="1"/>
  <c r="M62" i="16"/>
  <c r="L62" i="16"/>
  <c r="J86" i="16" l="1"/>
  <c r="D97" i="16" s="1"/>
  <c r="AF33" i="14" s="1"/>
  <c r="K86" i="16" l="1"/>
  <c r="D98" i="16" s="1"/>
  <c r="AF34" i="14" s="1"/>
  <c r="M86" i="16" l="1"/>
  <c r="D100" i="16" s="1"/>
  <c r="AF36" i="14" s="1"/>
  <c r="L86" i="16"/>
  <c r="D99" i="16" s="1"/>
  <c r="AF35" i="14" s="1"/>
  <c r="B6" i="4" l="1" a="1"/>
  <c r="B6" i="4" s="1"/>
  <c r="B2" i="4" a="1"/>
  <c r="B2" i="4" s="1"/>
  <c r="B4" i="4" a="1"/>
  <c r="B4" i="4" s="1"/>
  <c r="B17" i="4" a="1"/>
  <c r="B17" i="4" s="1"/>
  <c r="B25" i="4" a="1"/>
  <c r="B25" i="4" s="1"/>
  <c r="B20" i="4" a="1"/>
  <c r="B20" i="4" s="1"/>
  <c r="B22" i="4" a="1"/>
  <c r="B22" i="4" s="1"/>
  <c r="B15" i="4" a="1"/>
  <c r="B15" i="4" s="1"/>
  <c r="B14" i="4" a="1"/>
  <c r="B14" i="4" s="1"/>
  <c r="B18" i="4" a="1"/>
  <c r="B18" i="4" s="1"/>
  <c r="B7" i="4" a="1"/>
  <c r="B7" i="4" s="1"/>
  <c r="B13" i="4" a="1"/>
  <c r="B13" i="4" s="1"/>
  <c r="B9" i="4" a="1"/>
  <c r="B9" i="4" s="1"/>
  <c r="B19" i="4" a="1"/>
  <c r="B19" i="4" s="1"/>
  <c r="B27" i="4" a="1"/>
  <c r="B27" i="4" s="1"/>
  <c r="B23" i="4" a="1"/>
  <c r="B23" i="4" s="1"/>
  <c r="B8" i="4" a="1"/>
  <c r="B8" i="4" s="1"/>
  <c r="B11" i="4" a="1"/>
  <c r="B11" i="4" s="1"/>
  <c r="B16" i="4" a="1"/>
  <c r="B16" i="4" s="1"/>
  <c r="B12" i="4" a="1"/>
  <c r="B12" i="4" s="1"/>
  <c r="B24" i="4" a="1"/>
  <c r="B24" i="4" s="1"/>
  <c r="B10" i="4" a="1"/>
  <c r="B10" i="4" s="1"/>
  <c r="B26" i="4" a="1"/>
  <c r="B26" i="4" s="1"/>
  <c r="B5" i="4" a="1"/>
  <c r="B5" i="4" s="1"/>
  <c r="B3" i="4" a="1"/>
  <c r="B3" i="4" s="1"/>
  <c r="B21" i="4" a="1"/>
  <c r="B21" i="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tc={F56C3933-3D87-4F5B-9FB2-95657F540660}</author>
    <author>tc={BE490BC0-B831-49A7-BDEA-A5A358EC24EB}</author>
    <author>tc={CFCDCC05-FCB8-401C-B841-FD1F99854E68}</author>
    <author>tc={9BF78FA5-0C84-449A-A92D-10E113639D3C}</author>
    <author>tc={5A93FDCC-0CFA-44D3-BD3C-E61E04942DC0}</author>
  </authors>
  <commentList>
    <comment ref="A1" authorId="0" shapeId="0" xr:uid="{F56C3933-3D87-4F5B-9FB2-95657F540660}">
      <text>
        <t>[Threaded comment]
Your version of Excel allows you to read this threaded comment; however, any edits to it will get removed if the file is opened in a newer version of Excel. Learn more: https://go.microsoft.com/fwlink/?linkid=870924
Comment:
    =VLOOKUP(Meat6WT[@[Meat (6-inch / Wrap)]:[Meat (6-inch / Wrap)]], 'Cleaned sheet 1'!$A$1:$K$46, 2, FALSE)</t>
      </text>
    </comment>
    <comment ref="A30" authorId="1" shapeId="0" xr:uid="{BE490BC0-B831-49A7-BDEA-A5A358EC24EB}">
      <text>
        <t>[Threaded comment]
Your version of Excel allows you to read this threaded comment; however, any edits to it will get removed if the file is opened in a newer version of Excel. Learn more: https://go.microsoft.com/fwlink/?linkid=870924
Comment:
    =VLOOKUP(PromT[@[Promotional items (6-inch / Wrap)]:[Promotional items (6-inch / Wrap)]], 'Cleaned sheet 2'!A1:K78, 2, FALSE)</t>
      </text>
    </comment>
    <comment ref="A36" authorId="2" shapeId="0" xr:uid="{CFCDCC05-FCB8-401C-B841-FD1F99854E68}">
      <text>
        <t>[Threaded comment]
Your version of Excel allows you to read this threaded comment; however, any edits to it will get removed if the file is opened in a newer version of Excel. Learn more: https://go.microsoft.com/fwlink/?linkid=870924
Comment:
    BREAD
=VLOOKUP(MToppingsT[@[Toppings (Meat)]:[Toppings (Meat)]], BreadT, B$34, FALSE)
Reply:
    VEGGIE
=VLOOKUP(MToppingsT[@[Toppings (Meat)]:[Toppings (Meat)]], VegT, Meat!B$35, FALSE)</t>
      </text>
    </comment>
    <comment ref="A46" authorId="3" shapeId="0" xr:uid="{9BF78FA5-0C84-449A-A92D-10E113639D3C}">
      <text>
        <t>[Threaded comment]
Your version of Excel allows you to read this threaded comment; however, any edits to it will get removed if the file is opened in a newer version of Excel. Learn more: https://go.microsoft.com/fwlink/?linkid=870924
Comment:
    VEGGIE
=VLOOKUP(BBQPorkVT[@[Toppings ( Subway 6-Inch® BBQ Pulled Pork )]:[Toppings ( Subway 6-Inch® BBQ Pulled Pork )]], VegT, Meat!B$48, FALSE)
Reply:
    DRESSING
=VLOOKUP(BBQPorkVT[@[Toppings ( Subway 6-Inch® BBQ Pulled Pork )]:[Toppings ( Subway 6-Inch® BBQ Pulled Pork )]], DressingT, Meat!B$47, FALSE)
Reply:
    BREAD =VLOOKUP(BBQPorkVT[@[Toppings ( Subway 6-Inch® BBQ Pulled Pork )]:[Toppings ( Subway 6-Inch® BBQ Pulled Pork )]], BreadT, B$47, FALSE)</t>
      </text>
    </comment>
    <comment ref="A54" authorId="4" shapeId="0" xr:uid="{5A93FDCC-0CFA-44D3-BD3C-E61E04942DC0}">
      <text>
        <t>[Threaded comment]
Your version of Excel allows you to read this threaded comment; however, any edits to it will get removed if the file is opened in a newer version of Excel. Learn more: https://go.microsoft.com/fwlink/?linkid=870924
Comment:
    VEGGIE
=VLOOKUP(BBQPorkBVT[@[Toppings ( Subway 6-Inch® BBQ Pulled Pork with Bacon )]:[Toppings ( Subway 6-Inch® BBQ Pulled Pork with Bacon )]], VegT, Meat!B$58, FALSE)
Reply:
    CHEESE
=VLOOKUP(BBQPorkBVT[@[Toppings ( Subway 6-Inch® BBQ Pulled Pork with Bacon )]:[Toppings ( Subway 6-Inch® BBQ Pulled Pork with Bacon )]], BreadT, Meat!B$57, FALSE)
Reply:
    DRESSING
=VLOOKUP(BBQPorkBVT[@[Toppings ( Subway 6-Inch® BBQ Pulled Pork with Bacon )]:[Toppings ( Subway 6-Inch® BBQ Pulled Pork with Bacon )]], DressingT, Meat!B$57, FALSE)</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tc={D9B25C2C-4F46-4453-98D0-E94380660CCD}</author>
    <author>tc={60CA7B47-BAF5-44D2-85D3-73011C4EF8CA}</author>
    <author>tc={32AE69AE-BCE4-46C6-9D22-76ABBC9E1984}</author>
    <author>tc={31895700-BBA9-44BF-BAC4-FB2C57DD6844}</author>
    <author>tc={F83BF998-E0C3-42B2-B811-B0C5E54E14DB}</author>
    <author>tc={B6B9D2DD-F0E7-4BE6-ABD0-691891D0CE04}</author>
    <author>tc={BD0F0DB2-6F1C-4DA3-8002-F55C0652B419}</author>
    <author>tc={1EF0403B-6B9B-48FA-A139-EE2B3D67D677}</author>
  </authors>
  <commentList>
    <comment ref="D4" authorId="0" shapeId="0" xr:uid="{D9B25C2C-4F46-4453-98D0-E94380660CCD}">
      <text>
        <t>[Threaded comment]
Your version of Excel allows you to read this threaded comment; however, any edits to it will get removed if the file is opened in a newer version of Excel. Learn more: https://go.microsoft.com/fwlink/?linkid=870924
Comment:
    =VLOOKUP('Nutritional Info'!$C$6, BreadT, D$3,FALSE)*getMultiplier()</t>
      </text>
    </comment>
    <comment ref="D11" authorId="1" shapeId="0" xr:uid="{60CA7B47-BAF5-44D2-85D3-73011C4EF8CA}">
      <text>
        <t>[Threaded comment]
Your version of Excel allows you to read this threaded comment; however, any edits to it will get removed if the file is opened in a newer version of Excel. Learn more: https://go.microsoft.com/fwlink/?linkid=870924
Comment:
    =VLOOKUP('Nutritional Info'!$C$11,MeatT,D$9,FALSE)*getMultiplier()</t>
      </text>
    </comment>
    <comment ref="D17" authorId="2" shapeId="0" xr:uid="{32AE69AE-BCE4-46C6-9D22-76ABBC9E1984}">
      <text>
        <t>[Threaded comment]
Your version of Excel allows you to read this threaded comment; however, any edits to it will get removed if the file is opened in a newer version of Excel. Learn more: https://go.microsoft.com/fwlink/?linkid=870924
Comment:
    =IF(LEN(C16)&gt;0, IF(hasServingUnits(C16), IF(getServingCount(C16)&gt;0, getServingCount(C16), "Default"), "Default"), "")</t>
      </text>
    </comment>
    <comment ref="E17" authorId="3" shapeId="0" xr:uid="{31895700-BBA9-44BF-BAC4-FB2C57DD6844}">
      <text>
        <t>[Threaded comment]
Your version of Excel allows you to read this threaded comment; however, any edits to it will get removed if the file is opened in a newer version of Excel. Learn more: https://go.microsoft.com/fwlink/?linkid=870924
Comment:
    =IF(LEN(C16)&gt;0, IF(hasServingUnits(C16), getServingUnits(C16), ""), "")</t>
      </text>
    </comment>
    <comment ref="F17" authorId="4" shapeId="0" xr:uid="{F83BF998-E0C3-42B2-B811-B0C5E54E14DB}">
      <text>
        <t>[Threaded comment]
Your version of Excel allows you to read this threaded comment; however, any edits to it will get removed if the file is opened in a newer version of Excel. Learn more: https://go.microsoft.com/fwlink/?linkid=870924
Comment:
    =calculateVeggie($C16, $D16, F$14)</t>
      </text>
    </comment>
    <comment ref="D35" authorId="5" shapeId="0" xr:uid="{B6B9D2DD-F0E7-4BE6-ABD0-691891D0CE04}">
      <text>
        <t>[Threaded comment]
Your version of Excel allows you to read this threaded comment; however, any edits to it will get removed if the file is opened in a newer version of Excel. Learn more: https://go.microsoft.com/fwlink/?linkid=870924
Comment:
    =IF(LEN(C34)&gt;0, IF(hasServingUnits(C34), IF(getServingCount(C34)&gt;0, getServingCount(C34), "Default"), "Default"), "")</t>
      </text>
    </comment>
    <comment ref="E35" authorId="6" shapeId="0" xr:uid="{BD0F0DB2-6F1C-4DA3-8002-F55C0652B419}">
      <text>
        <t>[Threaded comment]
Your version of Excel allows you to read this threaded comment; however, any edits to it will get removed if the file is opened in a newer version of Excel. Learn more: https://go.microsoft.com/fwlink/?linkid=870924
Comment:
    =IF(LEN(C34)&gt;0, IF(hasServingUnits(C34), getServingUnits(C34), ""), "")</t>
      </text>
    </comment>
    <comment ref="F35" authorId="7" shapeId="0" xr:uid="{1EF0403B-6B9B-48FA-A139-EE2B3D67D677}">
      <text>
        <t>[Threaded comment]
Your version of Excel allows you to read this threaded comment; however, any edits to it will get removed if the file is opened in a newer version of Excel. Learn more: https://go.microsoft.com/fwlink/?linkid=870924
Comment:
    =calculateCheese($C34, $D34, F$32)</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tc={36B9A9AA-3404-41EE-B9A4-ED04CF9640F0}</author>
    <author>tc={2550A2F3-A49A-4B5D-ADDC-1B32BD70D0D5}</author>
    <author>tc={7E70BD00-FD10-4B72-8634-E24375C1EFE0}</author>
    <author>tc={D69FBB32-880B-47E6-8C40-1B8D90FAEC8E}</author>
  </authors>
  <commentList>
    <comment ref="D30" authorId="0" shapeId="0" xr:uid="{36B9A9AA-3404-41EE-B9A4-ED04CF9640F0}">
      <text>
        <t>[Threaded comment]
Your version of Excel allows you to read this threaded comment; however, any edits to it will get removed if the file is opened in a newer version of Excel. Learn more: https://go.microsoft.com/fwlink/?linkid=870924
Comment:
    =IFERROR(FILTER(VegCalc[Vegetables selected], TRUE=VegCalc[TRUE / FALSE]), "")</t>
      </text>
    </comment>
    <comment ref="E30" authorId="1" shapeId="0" xr:uid="{2550A2F3-A49A-4B5D-ADDC-1B32BD70D0D5}">
      <text>
        <t>[Threaded comment]
Your version of Excel allows you to read this threaded comment; however, any edits to it will get removed if the file is opened in a newer version of Excel. Learn more: https://go.microsoft.com/fwlink/?linkid=870924
Comment:
    =IFERROR(FILTER(CheeseCalc[Cheese selected], TRUE=CheeseCalc[TRUE / FALSE]), "")</t>
      </text>
    </comment>
    <comment ref="F30" authorId="2" shapeId="0" xr:uid="{7E70BD00-FD10-4B72-8634-E24375C1EFE0}">
      <text>
        <t>[Threaded comment]
Your version of Excel allows you to read this threaded comment; however, any edits to it will get removed if the file is opened in a newer version of Excel. Learn more: https://go.microsoft.com/fwlink/?linkid=870924
Comment:
    =IFERROR(FILTER(SeasoningCalc[Seasoning], TRUE=SeasoningCalc[TRUE / FALSE]), "")</t>
      </text>
    </comment>
    <comment ref="G30" authorId="3" shapeId="0" xr:uid="{D69FBB32-880B-47E6-8C40-1B8D90FAEC8E}">
      <text>
        <t>[Threaded comment]
Your version of Excel allows you to read this threaded comment; however, any edits to it will get removed if the file is opened in a newer version of Excel. Learn more: https://go.microsoft.com/fwlink/?linkid=870924
Comment:
    =IFERROR(FILTER(ToppingCalc[Toppings selected], TRUE=ToppingCalc[TRUE / FALSE]), "")</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<sst xmlns="http://schemas.openxmlformats.org/spreadsheetml/2006/main" count="965" uniqueCount="370">
  <si>
    <r>
      <rPr>
        <sz val="9.5"/>
        <rFont val="Verdana"/>
        <family val="2"/>
      </rPr>
      <t>AVG QTY Per Serve</t>
    </r>
  </si>
  <si>
    <r>
      <rPr>
        <sz val="9.5"/>
        <rFont val="Verdana"/>
        <family val="2"/>
      </rPr>
      <t>Serving Size (g)</t>
    </r>
  </si>
  <si>
    <r>
      <rPr>
        <sz val="9.5"/>
        <rFont val="Verdana"/>
        <family val="2"/>
      </rPr>
      <t>Energy (kJ)</t>
    </r>
  </si>
  <si>
    <r>
      <rPr>
        <sz val="9.5"/>
        <rFont val="Verdana"/>
        <family val="2"/>
      </rPr>
      <t>Energy (kcal)</t>
    </r>
  </si>
  <si>
    <r>
      <rPr>
        <sz val="9.5"/>
        <rFont val="Verdana"/>
        <family val="2"/>
      </rPr>
      <t>Protein (g)</t>
    </r>
  </si>
  <si>
    <r>
      <rPr>
        <sz val="9.5"/>
        <rFont val="Verdana"/>
        <family val="2"/>
      </rPr>
      <t>Fat, Total (g)</t>
    </r>
  </si>
  <si>
    <r>
      <rPr>
        <sz val="9.5"/>
        <rFont val="Verdana"/>
        <family val="2"/>
      </rPr>
      <t>Sat. Fat (g)</t>
    </r>
  </si>
  <si>
    <r>
      <rPr>
        <sz val="9.5"/>
        <rFont val="Verdana"/>
        <family val="2"/>
      </rPr>
      <t>Carbohydrates (g)</t>
    </r>
  </si>
  <si>
    <r>
      <rPr>
        <sz val="9.5"/>
        <rFont val="Verdana"/>
        <family val="2"/>
      </rPr>
      <t>Sugars (g)</t>
    </r>
  </si>
  <si>
    <r>
      <rPr>
        <sz val="9.5"/>
        <rFont val="Verdana"/>
        <family val="2"/>
      </rPr>
      <t>Dietary Fiber (g)</t>
    </r>
  </si>
  <si>
    <r>
      <rPr>
        <sz val="9.5"/>
        <rFont val="Verdana"/>
        <family val="2"/>
      </rPr>
      <t>Sodium (mg)</t>
    </r>
  </si>
  <si>
    <r>
      <rPr>
        <sz val="7.5"/>
        <color rgb="FFFFFFFF"/>
        <rFont val="Arial"/>
        <family val="2"/>
      </rPr>
      <t xml:space="preserve">Values include white bread, lettuce, spinach, tomatoes cucumbers, onions
</t>
    </r>
    <r>
      <rPr>
        <sz val="7.5"/>
        <color rgb="FFFFFFFF"/>
        <rFont val="Arial"/>
        <family val="2"/>
      </rPr>
      <t xml:space="preserve">Subway 6-Inch® Sub
</t>
    </r>
    <r>
      <rPr>
        <sz val="7.5"/>
        <color rgb="FFFFFFFF"/>
        <rFont val="Arial"/>
        <family val="2"/>
      </rPr>
      <t>and capsicum</t>
    </r>
  </si>
  <si>
    <r>
      <rPr>
        <sz val="7.5"/>
        <rFont val="Arial"/>
        <family val="2"/>
      </rPr>
      <t>Buffalo Chicken</t>
    </r>
  </si>
  <si>
    <r>
      <rPr>
        <sz val="7.5"/>
        <rFont val="Arial"/>
        <family val="2"/>
      </rPr>
      <t>Chicken and Bacon Ranch Melt (with Mozzarella)</t>
    </r>
  </si>
  <si>
    <r>
      <rPr>
        <sz val="7.5"/>
        <rFont val="Arial"/>
        <family val="2"/>
      </rPr>
      <t>Chicken Classic</t>
    </r>
  </si>
  <si>
    <r>
      <rPr>
        <sz val="7.5"/>
        <rFont val="Arial"/>
        <family val="2"/>
      </rPr>
      <t>Chicken Strips</t>
    </r>
  </si>
  <si>
    <r>
      <rPr>
        <sz val="7.5"/>
        <rFont val="Arial"/>
        <family val="2"/>
      </rPr>
      <t>Chicken Teriyaki</t>
    </r>
  </si>
  <si>
    <r>
      <rPr>
        <sz val="7.5"/>
        <rFont val="Arial"/>
        <family val="2"/>
      </rPr>
      <t>Italian B.M.T.® (with Salami, Pepperoni and Leg Ham)</t>
    </r>
  </si>
  <si>
    <r>
      <rPr>
        <sz val="7.5"/>
        <rFont val="Arial"/>
        <family val="2"/>
      </rPr>
      <t>Leg Ham</t>
    </r>
  </si>
  <si>
    <r>
      <rPr>
        <sz val="7.5"/>
        <rFont val="Arial"/>
        <family val="2"/>
      </rPr>
      <t>Meatball Melt (with Marinara and Mozzarella)</t>
    </r>
  </si>
  <si>
    <r>
      <rPr>
        <sz val="7.5"/>
        <rFont val="Arial"/>
        <family val="2"/>
      </rPr>
      <t>Pizza Melt (with Salami, Pepperoni, Mozarella and Marinara Sauce)</t>
    </r>
  </si>
  <si>
    <r>
      <rPr>
        <sz val="7.5"/>
        <rFont val="Arial"/>
        <family val="2"/>
      </rPr>
      <t>Pork Riblet with Smoky BBQ Sauce</t>
    </r>
  </si>
  <si>
    <r>
      <rPr>
        <sz val="7.5"/>
        <rFont val="Arial"/>
        <family val="2"/>
      </rPr>
      <t>Roast Beef</t>
    </r>
  </si>
  <si>
    <r>
      <rPr>
        <sz val="7.5"/>
        <rFont val="Arial"/>
        <family val="2"/>
      </rPr>
      <t>Smashed Falafel</t>
    </r>
  </si>
  <si>
    <r>
      <rPr>
        <sz val="7.5"/>
        <rFont val="Arial"/>
        <family val="2"/>
      </rPr>
      <t>Steak Melt (with Mozzarella Cheese)</t>
    </r>
  </si>
  <si>
    <r>
      <rPr>
        <sz val="7.5"/>
        <rFont val="Arial"/>
        <family val="2"/>
      </rPr>
      <t>Three Pepper Chicken</t>
    </r>
  </si>
  <si>
    <r>
      <rPr>
        <sz val="7.5"/>
        <rFont val="Arial"/>
        <family val="2"/>
      </rPr>
      <t>Tuna &amp; Mayo (with Mayonnaise)</t>
    </r>
  </si>
  <si>
    <r>
      <rPr>
        <sz val="7.5"/>
        <rFont val="Arial"/>
        <family val="2"/>
      </rPr>
      <t>Turkey, Sliced</t>
    </r>
  </si>
  <si>
    <r>
      <rPr>
        <sz val="7.5"/>
        <rFont val="Arial"/>
        <family val="2"/>
      </rPr>
      <t>Veggie Delite® with Avo</t>
    </r>
  </si>
  <si>
    <r>
      <rPr>
        <sz val="7.5"/>
        <rFont val="Arial"/>
        <family val="2"/>
      </rPr>
      <t>Veggie Patty</t>
    </r>
  </si>
  <si>
    <r>
      <rPr>
        <sz val="7.5"/>
        <color rgb="FFFFFFFF"/>
        <rFont val="Arial"/>
        <family val="2"/>
      </rPr>
      <t xml:space="preserve">Values include white bread, lettuce, spinach, tomatoes cucumbers, onions
</t>
    </r>
    <r>
      <rPr>
        <sz val="7.5"/>
        <color rgb="FFFFFFFF"/>
        <rFont val="Arial"/>
        <family val="2"/>
      </rPr>
      <t xml:space="preserve">Mini Subs
</t>
    </r>
    <r>
      <rPr>
        <sz val="7.5"/>
        <color rgb="FFFFFFFF"/>
        <rFont val="Arial"/>
        <family val="2"/>
      </rPr>
      <t>and capsicum</t>
    </r>
  </si>
  <si>
    <r>
      <rPr>
        <sz val="7.5"/>
        <rFont val="Arial"/>
        <family val="2"/>
      </rPr>
      <t>Turkey Sliced</t>
    </r>
  </si>
  <si>
    <r>
      <rPr>
        <sz val="7.5"/>
        <color rgb="FFFFFFFF"/>
        <rFont val="Arial"/>
        <family val="2"/>
      </rPr>
      <t>Breakfast                                                                                                              Values include white bread, spinach, tomatoes, onions and capsicum</t>
    </r>
  </si>
  <si>
    <r>
      <rPr>
        <sz val="7.5"/>
        <rFont val="Arial"/>
        <family val="2"/>
      </rPr>
      <t>Bacon and Egg (with Cheddar Cheese)</t>
    </r>
  </si>
  <si>
    <r>
      <rPr>
        <sz val="7.5"/>
        <rFont val="Arial"/>
        <family val="2"/>
      </rPr>
      <t>Egg and Cheese (Cheddar)</t>
    </r>
  </si>
  <si>
    <r>
      <rPr>
        <sz val="7.5"/>
        <rFont val="Arial"/>
        <family val="2"/>
      </rPr>
      <t>Ham, Egg and Cheese (Cheddar)</t>
    </r>
  </si>
  <si>
    <r>
      <rPr>
        <sz val="7.5"/>
        <rFont val="Arial"/>
        <family val="2"/>
      </rPr>
      <t>Steak, Egg and Cheese (Cheddar)</t>
    </r>
  </si>
  <si>
    <r>
      <rPr>
        <sz val="7.5"/>
        <color rgb="FFFFFFFF"/>
        <rFont val="Arial"/>
        <family val="2"/>
      </rPr>
      <t>Snacks</t>
    </r>
  </si>
  <si>
    <r>
      <rPr>
        <sz val="7.5"/>
        <rFont val="Arial"/>
        <family val="2"/>
      </rPr>
      <t>Avocado Toastie (on White Bread)</t>
    </r>
  </si>
  <si>
    <r>
      <rPr>
        <sz val="7.5"/>
        <rFont val="Arial"/>
        <family val="2"/>
      </rPr>
      <t>Cheesy Garlic Toastie (on White Bread)</t>
    </r>
  </si>
  <si>
    <r>
      <rPr>
        <sz val="7.5"/>
        <rFont val="Arial"/>
        <family val="2"/>
      </rPr>
      <t>Chipotle Quesadilla (on wrap with Mozzarella Cheese)</t>
    </r>
  </si>
  <si>
    <r>
      <rPr>
        <sz val="7.5"/>
        <rFont val="Arial"/>
        <family val="2"/>
      </rPr>
      <t>Garlic &amp; Herb Toastie (on White Bread)</t>
    </r>
  </si>
  <si>
    <r>
      <rPr>
        <sz val="7.5"/>
        <rFont val="Arial"/>
        <family val="2"/>
      </rPr>
      <t>Ham, Cheese &amp; Tomato Jaffle (on White Bread with Mayonnaise)</t>
    </r>
  </si>
  <si>
    <r>
      <rPr>
        <sz val="7.5"/>
        <rFont val="Arial"/>
        <family val="2"/>
      </rPr>
      <t>Meatball Mozza Pot (with Marinara Sauce)</t>
    </r>
  </si>
  <si>
    <r>
      <rPr>
        <sz val="7.5"/>
        <color rgb="FFFFFFFF"/>
        <rFont val="Arial"/>
        <family val="2"/>
      </rPr>
      <t>Cookies</t>
    </r>
  </si>
  <si>
    <r>
      <rPr>
        <sz val="7.5"/>
        <rFont val="Arial"/>
        <family val="2"/>
      </rPr>
      <t>Chocolate Chip Cookie</t>
    </r>
  </si>
  <si>
    <r>
      <rPr>
        <sz val="7.5"/>
        <rFont val="Arial"/>
        <family val="2"/>
      </rPr>
      <t xml:space="preserve">Chocolate Chip Cookie with </t>
    </r>
    <r>
      <rPr>
        <i/>
        <sz val="7.5"/>
        <rFont val="Arial"/>
        <family val="2"/>
      </rPr>
      <t>M&amp;M'S</t>
    </r>
  </si>
  <si>
    <r>
      <rPr>
        <sz val="7.5"/>
        <rFont val="Arial"/>
        <family val="2"/>
      </rPr>
      <t>Double Chocolate Chip Cookie</t>
    </r>
  </si>
  <si>
    <r>
      <rPr>
        <sz val="7.5"/>
        <rFont val="Arial"/>
        <family val="2"/>
      </rPr>
      <t>Oatmeal Raisin Cookie</t>
    </r>
  </si>
  <si>
    <r>
      <rPr>
        <sz val="7.5"/>
        <rFont val="Arial"/>
        <family val="2"/>
      </rPr>
      <t>White Chip Macadamia Nut Cookie</t>
    </r>
  </si>
  <si>
    <r>
      <rPr>
        <sz val="7.5"/>
        <color rgb="FFFFFFFF"/>
        <rFont val="Arial"/>
        <family val="2"/>
      </rPr>
      <t>Baked Goods (available at selected locations)</t>
    </r>
  </si>
  <si>
    <r>
      <rPr>
        <sz val="7.5"/>
        <rFont val="Arial"/>
        <family val="2"/>
      </rPr>
      <t>Apple &amp; Custard Danish</t>
    </r>
  </si>
  <si>
    <r>
      <rPr>
        <sz val="7.5"/>
        <rFont val="Arial"/>
        <family val="2"/>
      </rPr>
      <t>Apricot &amp; Custard Danish</t>
    </r>
  </si>
  <si>
    <r>
      <rPr>
        <sz val="7.5"/>
        <rFont val="Arial"/>
        <family val="2"/>
      </rPr>
      <t>Boysenberry &amp; Custard Danish</t>
    </r>
  </si>
  <si>
    <r>
      <rPr>
        <sz val="7.5"/>
        <color rgb="FFFFFFFF"/>
        <rFont val="Arial"/>
        <family val="2"/>
      </rPr>
      <t>Sides</t>
    </r>
  </si>
  <si>
    <r>
      <rPr>
        <sz val="7.5"/>
        <rFont val="Arial"/>
        <family val="2"/>
      </rPr>
      <t>Wattie's Fruit Squirtz, Apple &amp; Blackcurrant Puree</t>
    </r>
  </si>
  <si>
    <r>
      <rPr>
        <sz val="7.5"/>
        <rFont val="Arial"/>
        <family val="2"/>
      </rPr>
      <t>Wattie's Fruit Squirtz, Apple &amp; Peach Puree</t>
    </r>
  </si>
  <si>
    <r>
      <rPr>
        <sz val="7.5"/>
        <rFont val="Arial"/>
        <family val="2"/>
      </rPr>
      <t>Wattie's Fruit Squirtz, Apple &amp; Strawberry Puree</t>
    </r>
  </si>
  <si>
    <r>
      <rPr>
        <sz val="7.5"/>
        <color rgb="FFFFFFFF"/>
        <rFont val="Arial"/>
        <family val="2"/>
      </rPr>
      <t>Breads</t>
    </r>
  </si>
  <si>
    <r>
      <rPr>
        <sz val="7.5"/>
        <rFont val="Arial"/>
        <family val="2"/>
      </rPr>
      <t>Subway 6 Inch® Wheat Bread</t>
    </r>
  </si>
  <si>
    <r>
      <rPr>
        <sz val="7.5"/>
        <rFont val="Arial"/>
        <family val="2"/>
      </rPr>
      <t>Subway 6-Inch® White Bread</t>
    </r>
  </si>
  <si>
    <r>
      <rPr>
        <sz val="7.5"/>
        <rFont val="Arial"/>
        <family val="2"/>
      </rPr>
      <t>Subway 6-Inch® Malted Rye Bread</t>
    </r>
  </si>
  <si>
    <r>
      <rPr>
        <sz val="7.5"/>
        <rFont val="Arial"/>
        <family val="2"/>
      </rPr>
      <t>Subway 6-Inch® Italian Herbs &amp; Cheese Bread</t>
    </r>
  </si>
  <si>
    <r>
      <rPr>
        <sz val="7.5"/>
        <rFont val="Arial"/>
        <family val="2"/>
      </rPr>
      <t>Subway 6-Inch® Roasted Garlic Bread</t>
    </r>
  </si>
  <si>
    <r>
      <rPr>
        <sz val="7.5"/>
        <rFont val="Arial"/>
        <family val="2"/>
      </rPr>
      <t>Mini Wheat Bread</t>
    </r>
  </si>
  <si>
    <r>
      <rPr>
        <sz val="7.5"/>
        <rFont val="Arial"/>
        <family val="2"/>
      </rPr>
      <t>Mini White Bread</t>
    </r>
  </si>
  <si>
    <r>
      <rPr>
        <sz val="7.5"/>
        <rFont val="Arial"/>
        <family val="2"/>
      </rPr>
      <t>Wrap, Flour</t>
    </r>
  </si>
  <si>
    <r>
      <rPr>
        <sz val="7.5"/>
        <rFont val="Arial"/>
        <family val="2"/>
      </rPr>
      <t>Wrap, Gluten Free *</t>
    </r>
  </si>
  <si>
    <r>
      <rPr>
        <sz val="7.5"/>
        <color rgb="FFFFFFFF"/>
        <rFont val="Arial"/>
        <family val="2"/>
      </rPr>
      <t>Meat, Poultry, Egg, Seafood &amp; Vegetarian                                                        (Amount on Subway 6-Inch® sub)</t>
    </r>
  </si>
  <si>
    <r>
      <rPr>
        <sz val="7.5"/>
        <rFont val="Arial"/>
        <family val="2"/>
      </rPr>
      <t>Bacon, Streaky (2 strips)</t>
    </r>
  </si>
  <si>
    <r>
      <rPr>
        <sz val="7.5"/>
        <rFont val="Arial"/>
        <family val="2"/>
      </rPr>
      <t>Egg Omelette</t>
    </r>
  </si>
  <si>
    <r>
      <rPr>
        <sz val="7.5"/>
        <rFont val="Arial"/>
        <family val="2"/>
      </rPr>
      <t>Meatball Marinara</t>
    </r>
  </si>
  <si>
    <r>
      <rPr>
        <sz val="7.5"/>
        <rFont val="Arial"/>
        <family val="2"/>
      </rPr>
      <t>Pepperoni</t>
    </r>
  </si>
  <si>
    <r>
      <rPr>
        <sz val="7.5"/>
        <rFont val="Arial"/>
        <family val="2"/>
      </rPr>
      <t>Pork Riblet</t>
    </r>
  </si>
  <si>
    <r>
      <rPr>
        <sz val="7.5"/>
        <rFont val="Arial"/>
        <family val="2"/>
      </rPr>
      <t>Salami</t>
    </r>
  </si>
  <si>
    <r>
      <rPr>
        <sz val="7.5"/>
        <rFont val="Arial"/>
        <family val="2"/>
      </rPr>
      <t>Steak, Diced</t>
    </r>
  </si>
  <si>
    <r>
      <rPr>
        <sz val="7.5"/>
        <color rgb="FFFFFFFF"/>
        <rFont val="Arial"/>
        <family val="2"/>
      </rPr>
      <t xml:space="preserve">Sauces &amp; Dressings                                                                                             </t>
    </r>
    <r>
      <rPr>
        <vertAlign val="superscript"/>
        <sz val="7.5"/>
        <color rgb="FFFFFFFF"/>
        <rFont val="Arial"/>
        <family val="2"/>
      </rPr>
      <t>(Amount on Subway 6-Inch® sub)</t>
    </r>
  </si>
  <si>
    <r>
      <rPr>
        <sz val="7.5"/>
        <rFont val="Arial"/>
        <family val="2"/>
      </rPr>
      <t>Blue Cheese Dressing</t>
    </r>
  </si>
  <si>
    <r>
      <rPr>
        <sz val="7.5"/>
        <rFont val="Arial"/>
        <family val="2"/>
      </rPr>
      <t>Chipotle Southwest Sauce</t>
    </r>
  </si>
  <si>
    <r>
      <rPr>
        <sz val="7.5"/>
        <rFont val="Arial"/>
        <family val="2"/>
      </rPr>
      <t>Garlic Aioli</t>
    </r>
  </si>
  <si>
    <r>
      <rPr>
        <sz val="7.5"/>
        <rFont val="Arial"/>
        <family val="2"/>
      </rPr>
      <t>Habanero Hot Sauce</t>
    </r>
  </si>
  <si>
    <r>
      <rPr>
        <sz val="7.5"/>
        <rFont val="Arial"/>
        <family val="2"/>
      </rPr>
      <t>Honey Mustard Sauce</t>
    </r>
  </si>
  <si>
    <r>
      <rPr>
        <sz val="7.5"/>
        <rFont val="Arial"/>
        <family val="2"/>
      </rPr>
      <t>Marinara</t>
    </r>
  </si>
  <si>
    <r>
      <rPr>
        <sz val="7.5"/>
        <rFont val="Arial"/>
        <family val="2"/>
      </rPr>
      <t>Mayonnaise</t>
    </r>
  </si>
  <si>
    <r>
      <rPr>
        <sz val="7.5"/>
        <rFont val="Arial"/>
        <family val="2"/>
      </rPr>
      <t>Ranch Dressing</t>
    </r>
  </si>
  <si>
    <r>
      <rPr>
        <sz val="7.5"/>
        <rFont val="Arial"/>
        <family val="2"/>
      </rPr>
      <t>Smoky BBQ Sauce</t>
    </r>
  </si>
  <si>
    <r>
      <rPr>
        <sz val="7.5"/>
        <rFont val="Arial"/>
        <family val="2"/>
      </rPr>
      <t>Spicy Mayonnaise</t>
    </r>
  </si>
  <si>
    <r>
      <rPr>
        <sz val="7.5"/>
        <rFont val="Arial"/>
        <family val="2"/>
      </rPr>
      <t>Sweet Chili Sauce</t>
    </r>
  </si>
  <si>
    <r>
      <rPr>
        <sz val="7.5"/>
        <rFont val="Arial"/>
        <family val="2"/>
      </rPr>
      <t>Sweet Onion Sauce</t>
    </r>
  </si>
  <si>
    <r>
      <rPr>
        <sz val="7.5"/>
        <color rgb="FFFFFFFF"/>
        <rFont val="Arial"/>
        <family val="2"/>
      </rPr>
      <t xml:space="preserve">Cheeses                                                                                                               </t>
    </r>
    <r>
      <rPr>
        <vertAlign val="superscript"/>
        <sz val="7.5"/>
        <color rgb="FFFFFFFF"/>
        <rFont val="Arial"/>
        <family val="2"/>
      </rPr>
      <t>(Amount on Subway 6-Inch® sub)</t>
    </r>
  </si>
  <si>
    <r>
      <rPr>
        <sz val="7.5"/>
        <rFont val="Arial"/>
        <family val="2"/>
      </rPr>
      <t>Cheddar-Style Cheese, (Slice)</t>
    </r>
  </si>
  <si>
    <r>
      <rPr>
        <sz val="7.5"/>
        <rFont val="Arial"/>
        <family val="2"/>
      </rPr>
      <t>Mozzarella Cheese (shredded)</t>
    </r>
  </si>
  <si>
    <r>
      <rPr>
        <sz val="7.5"/>
        <rFont val="Arial"/>
        <family val="2"/>
      </rPr>
      <t>Old English-Style Cheese (slice)</t>
    </r>
  </si>
  <si>
    <r>
      <rPr>
        <sz val="7.5"/>
        <color rgb="FFFFFFFF"/>
        <rFont val="Arial"/>
        <family val="2"/>
      </rPr>
      <t xml:space="preserve">Vegetables                                                                                                           </t>
    </r>
    <r>
      <rPr>
        <vertAlign val="superscript"/>
        <sz val="7.5"/>
        <color rgb="FFFFFFFF"/>
        <rFont val="Arial"/>
        <family val="2"/>
      </rPr>
      <t>(Amount on Subway 6-Inch® sub)</t>
    </r>
  </si>
  <si>
    <r>
      <rPr>
        <sz val="7.5"/>
        <rFont val="Arial"/>
        <family val="2"/>
      </rPr>
      <t>Avocado</t>
    </r>
  </si>
  <si>
    <r>
      <rPr>
        <sz val="7.5"/>
        <rFont val="Arial"/>
        <family val="2"/>
      </rPr>
      <t>Beetroot (Selected Locations Only)</t>
    </r>
  </si>
  <si>
    <r>
      <rPr>
        <sz val="7.5"/>
        <rFont val="Arial"/>
        <family val="2"/>
      </rPr>
      <t>Capsicum (3 strips)</t>
    </r>
  </si>
  <si>
    <r>
      <rPr>
        <sz val="7.5"/>
        <rFont val="Arial"/>
        <family val="2"/>
      </rPr>
      <t>Carrots</t>
    </r>
  </si>
  <si>
    <r>
      <rPr>
        <sz val="7.5"/>
        <rFont val="Arial"/>
        <family val="2"/>
      </rPr>
      <t>Cucumbers (3 slices)</t>
    </r>
  </si>
  <si>
    <r>
      <rPr>
        <sz val="7.5"/>
        <rFont val="Arial"/>
        <family val="2"/>
      </rPr>
      <t>Jalapeno Peppers (3 rings)</t>
    </r>
  </si>
  <si>
    <r>
      <rPr>
        <sz val="7.5"/>
        <rFont val="Arial"/>
        <family val="2"/>
      </rPr>
      <t>Lettuce</t>
    </r>
  </si>
  <si>
    <r>
      <rPr>
        <sz val="7.5"/>
        <rFont val="Arial"/>
        <family val="2"/>
      </rPr>
      <t>Onions</t>
    </r>
  </si>
  <si>
    <r>
      <rPr>
        <sz val="7.5"/>
        <rFont val="Arial"/>
        <family val="2"/>
      </rPr>
      <t>Olives (3 rings)</t>
    </r>
  </si>
  <si>
    <r>
      <rPr>
        <sz val="7.5"/>
        <rFont val="Arial"/>
        <family val="2"/>
      </rPr>
      <t>Pickles (3 wheels)</t>
    </r>
  </si>
  <si>
    <r>
      <rPr>
        <sz val="7.5"/>
        <rFont val="Arial"/>
        <family val="2"/>
      </rPr>
      <t>Pineapple (Selected Locations Only)</t>
    </r>
  </si>
  <si>
    <r>
      <rPr>
        <sz val="7.5"/>
        <rFont val="Arial"/>
        <family val="2"/>
      </rPr>
      <t>Spinach</t>
    </r>
  </si>
  <si>
    <r>
      <rPr>
        <sz val="7.5"/>
        <rFont val="Arial"/>
        <family val="2"/>
      </rPr>
      <t>Tomatoes (3 wheels)</t>
    </r>
  </si>
  <si>
    <r>
      <rPr>
        <sz val="7.5"/>
        <color rgb="FFFFFFFF"/>
        <rFont val="Arial"/>
        <family val="2"/>
      </rPr>
      <t xml:space="preserve">Seasonings                                                                                                          </t>
    </r>
    <r>
      <rPr>
        <vertAlign val="superscript"/>
        <sz val="7.5"/>
        <color rgb="FFFFFFFF"/>
        <rFont val="Arial"/>
        <family val="2"/>
      </rPr>
      <t>(Amount on Subway 6-Inch® sub)</t>
    </r>
  </si>
  <si>
    <r>
      <rPr>
        <sz val="7.5"/>
        <rFont val="Arial"/>
        <family val="2"/>
      </rPr>
      <t>Pepper</t>
    </r>
  </si>
  <si>
    <r>
      <rPr>
        <sz val="7.5"/>
        <rFont val="Arial"/>
        <family val="2"/>
      </rPr>
      <t>Salt</t>
    </r>
  </si>
  <si>
    <r>
      <rPr>
        <sz val="7.5"/>
        <color rgb="FFFFFFFF"/>
        <rFont val="Arial"/>
        <family val="2"/>
      </rPr>
      <t>Smoothies</t>
    </r>
  </si>
  <si>
    <r>
      <rPr>
        <sz val="7.5"/>
        <rFont val="Arial"/>
        <family val="2"/>
      </rPr>
      <t>Blueberry and Mango</t>
    </r>
  </si>
  <si>
    <r>
      <rPr>
        <sz val="7.5"/>
        <rFont val="Arial"/>
        <family val="2"/>
      </rPr>
      <t>Strawberry</t>
    </r>
  </si>
  <si>
    <r>
      <rPr>
        <sz val="7.5"/>
        <rFont val="Arial"/>
        <family val="2"/>
      </rPr>
      <t>Tropical</t>
    </r>
  </si>
  <si>
    <r>
      <rPr>
        <sz val="7.5"/>
        <color rgb="FFFFFFFF"/>
        <rFont val="Arial"/>
        <family val="2"/>
      </rPr>
      <t xml:space="preserve">PROMOTIONAL ITEMS                                                                                        </t>
    </r>
    <r>
      <rPr>
        <vertAlign val="superscript"/>
        <sz val="7.5"/>
        <color rgb="FFFFFFFF"/>
        <rFont val="Arial"/>
        <family val="2"/>
      </rPr>
      <t xml:space="preserve">Values include lettuce, onions, pickles, carrots, BBQ sauce on italian herb
</t>
    </r>
    <r>
      <rPr>
        <sz val="7.5"/>
        <color rgb="FFFFFFFF"/>
        <rFont val="Arial"/>
        <family val="2"/>
      </rPr>
      <t xml:space="preserve">Subway® BBQ Pulled Pork                                                                                  </t>
    </r>
    <r>
      <rPr>
        <vertAlign val="superscript"/>
        <sz val="7.5"/>
        <color rgb="FFFFFFFF"/>
        <rFont val="Arial"/>
        <family val="2"/>
      </rPr>
      <t>&amp; cheese bread</t>
    </r>
  </si>
  <si>
    <r>
      <rPr>
        <sz val="7.5"/>
        <rFont val="Arial"/>
        <family val="2"/>
      </rPr>
      <t>Subway 6-Inch® BBQ Pulled Pork</t>
    </r>
  </si>
  <si>
    <r>
      <rPr>
        <sz val="7.5"/>
        <color rgb="FFFFFFFF"/>
        <rFont val="Arial"/>
        <family val="2"/>
      </rPr>
      <t xml:space="preserve">Values include lettuce, onions, jalapeno peppers, carrots, spicy
</t>
    </r>
    <r>
      <rPr>
        <sz val="7.5"/>
        <color rgb="FFFFFFFF"/>
        <rFont val="Arial"/>
        <family val="2"/>
      </rPr>
      <t xml:space="preserve">Subway® BBQ Pulled Pork with Bacon
</t>
    </r>
    <r>
      <rPr>
        <sz val="7.5"/>
        <color rgb="FFFFFFFF"/>
        <rFont val="Arial"/>
        <family val="2"/>
      </rPr>
      <t>mayonnaise, sliced cheddar-style cheese on white bread</t>
    </r>
  </si>
  <si>
    <r>
      <rPr>
        <sz val="7.5"/>
        <rFont val="Arial"/>
        <family val="2"/>
      </rPr>
      <t>Subway 6-Inch® BBQ Pulled Pork with Bacon</t>
    </r>
  </si>
  <si>
    <r>
      <rPr>
        <sz val="7.5"/>
        <color rgb="FFFFFFFF"/>
        <rFont val="Arial"/>
        <family val="2"/>
      </rPr>
      <t>Meat, Poultry, Egg, Seafood</t>
    </r>
  </si>
  <si>
    <r>
      <rPr>
        <sz val="7.5"/>
        <rFont val="Arial"/>
        <family val="2"/>
      </rPr>
      <t>Pulled Pork (amount on a Subway 6-Inch® Sub)</t>
    </r>
  </si>
  <si>
    <r>
      <rPr>
        <sz val="5.5"/>
        <color rgb="FF008938"/>
        <rFont val="Arial"/>
        <family val="2"/>
      </rPr>
      <t xml:space="preserve">Nutrition information compiled using nutrition analysis from approved food manufacturers, independent laboratories and the USDA National Nutrient Database for Standard Reference.  The
</t>
    </r>
    <r>
      <rPr>
        <sz val="5.5"/>
        <color rgb="FF008938"/>
        <rFont val="Arial"/>
        <family val="2"/>
      </rPr>
      <t xml:space="preserve">nutrition information listed here is based on standard recipes and product formulations, however slight variations may occur due to the season of the year, use of an alternate supplier, region of the country and/or small differences in product assembly.
</t>
    </r>
    <r>
      <rPr>
        <sz val="5.5"/>
        <color rgb="FF008938"/>
        <rFont val="Arial"/>
        <family val="2"/>
      </rPr>
      <t xml:space="preserve">Double values for approximate Subway Footlong® sub nutrition values.
</t>
    </r>
    <r>
      <rPr>
        <sz val="5.5"/>
        <color rgb="FF008938"/>
        <rFont val="Arial"/>
        <family val="2"/>
      </rPr>
      <t>* Our gluten free products are manufactured in a gluten free facility. However, other menu items and ingredients in our restaurants contain gluten. Although we take steps to reduce the chances of cross contamination, we prepare our items on shared equipment so we cannot guarantee our menu items are gluten free. If you have food allergies, sensitivities or special dietary needs, please visit our website – https://www.subway.com/en-NZ for more information.</t>
    </r>
  </si>
  <si>
    <t>Buffalo Chicken</t>
  </si>
  <si>
    <t>Chicken and Bacon Ranch Melt (with Mozzarella)</t>
  </si>
  <si>
    <t>Chicken Classic</t>
  </si>
  <si>
    <t>Chicken Strips</t>
  </si>
  <si>
    <t>Chicken Teriyaki</t>
  </si>
  <si>
    <t>Italian B.M.T.® (with Salami, Pepperoni and Leg Ham)</t>
  </si>
  <si>
    <t>Leg Ham</t>
  </si>
  <si>
    <t>Meatball Melt (with Marinara and Mozzarella)</t>
  </si>
  <si>
    <t>Pizza Melt (with Salami, Pepperoni, Mozarella and Marinara Sauce)</t>
  </si>
  <si>
    <t>Pork Riblet with Smoky BBQ Sauce</t>
  </si>
  <si>
    <t>Roast Beef</t>
  </si>
  <si>
    <t>Smashed Falafel</t>
  </si>
  <si>
    <t>Steak Melt (with Mozzarella Cheese)</t>
  </si>
  <si>
    <t>Three Pepper Chicken</t>
  </si>
  <si>
    <t>Tuna &amp; Mayo (with Mayonnaise)</t>
  </si>
  <si>
    <t>Turkey, Sliced</t>
  </si>
  <si>
    <t>Veggie Delite® with Avo</t>
  </si>
  <si>
    <t>Veggie Patty</t>
  </si>
  <si>
    <t>Turkey Sliced</t>
  </si>
  <si>
    <t>Bacon and Egg (with Cheddar Cheese)</t>
  </si>
  <si>
    <t>Egg and Cheese (Cheddar)</t>
  </si>
  <si>
    <t>Ham, Egg and Cheese (Cheddar)</t>
  </si>
  <si>
    <t>Steak, Egg and Cheese (Cheddar)</t>
  </si>
  <si>
    <t>Avocado Toastie (on White Bread)</t>
  </si>
  <si>
    <t>Cheesy Garlic Toastie (on White Bread)</t>
  </si>
  <si>
    <t>Chipotle Quesadilla (on wrap with Mozzarella Cheese)</t>
  </si>
  <si>
    <t>Garlic &amp; Herb Toastie (on White Bread)</t>
  </si>
  <si>
    <t>Ham, Cheese &amp; Tomato Jaffle (on White Bread with Mayonnaise)</t>
  </si>
  <si>
    <t>Meatball Mozza Pot (with Marinara Sauce)</t>
  </si>
  <si>
    <t>Chocolate Chip Cookie</t>
  </si>
  <si>
    <t>Double Chocolate Chip Cookie</t>
  </si>
  <si>
    <t>Oatmeal Raisin Cookie</t>
  </si>
  <si>
    <t>White Chip Macadamia Nut Cookie</t>
  </si>
  <si>
    <t>Apple &amp; Custard Danish</t>
  </si>
  <si>
    <t>Apricot &amp; Custard Danish</t>
  </si>
  <si>
    <t>Boysenberry &amp; Custard Danish</t>
  </si>
  <si>
    <t>Serving Size (g)</t>
  </si>
  <si>
    <t>Energy (kJ)</t>
  </si>
  <si>
    <t>Energy (kcal)</t>
  </si>
  <si>
    <t>Protein (g)</t>
  </si>
  <si>
    <t>Fat, Total (g)</t>
  </si>
  <si>
    <t>Sat. Fat (g)</t>
  </si>
  <si>
    <t>Carbohydrates (g)</t>
  </si>
  <si>
    <t>Sugars (g)</t>
  </si>
  <si>
    <t>Dietary Fiber (g)</t>
  </si>
  <si>
    <t>Sodium (mg)</t>
  </si>
  <si>
    <t>Snacks</t>
  </si>
  <si>
    <t>Cookies</t>
  </si>
  <si>
    <t>Baked Goods (available at selected locations)</t>
  </si>
  <si>
    <r>
      <t xml:space="preserve">Chocolate Chip Cookie with </t>
    </r>
    <r>
      <rPr>
        <i/>
        <sz val="12"/>
        <color theme="1"/>
        <rFont val="Calibri"/>
        <family val="2"/>
        <scheme val="minor"/>
      </rPr>
      <t>M&amp;M'S</t>
    </r>
  </si>
  <si>
    <t>Values include white bread, lettuce, spinach, tomatoes cucumbers, onions and capsicum</t>
  </si>
  <si>
    <t>Sheet 1</t>
  </si>
  <si>
    <t>Meat (6inch)</t>
  </si>
  <si>
    <t>Breakfast (6inch)</t>
  </si>
  <si>
    <t>Bread</t>
  </si>
  <si>
    <t>Sides</t>
  </si>
  <si>
    <t>Wattie's Fruit Squirtz, Apple &amp; Blackcurrant Puree</t>
  </si>
  <si>
    <t>Wattie's Fruit Squirtz, Apple &amp; Peach Puree</t>
  </si>
  <si>
    <t>Wattie's Fruit Squirtz, Apple &amp; Strawberry Puree</t>
  </si>
  <si>
    <t>Breads</t>
  </si>
  <si>
    <t>Subway 6 Inch® Wheat Bread</t>
  </si>
  <si>
    <t>Subway 6-Inch® White Bread</t>
  </si>
  <si>
    <t>Subway 6-Inch® Malted Rye Bread</t>
  </si>
  <si>
    <t>Subway 6-Inch® Italian Herbs &amp; Cheese Bread</t>
  </si>
  <si>
    <t>Subway 6-Inch® Roasted Garlic Bread</t>
  </si>
  <si>
    <t>Mini Wheat Bread</t>
  </si>
  <si>
    <t>Mini White Bread</t>
  </si>
  <si>
    <t>Wrap, Flour</t>
  </si>
  <si>
    <t>Wrap, Gluten Free *</t>
  </si>
  <si>
    <t>Bacon, Streaky (2 strips)</t>
  </si>
  <si>
    <t>Egg Omelette</t>
  </si>
  <si>
    <t>Meatball Marinara</t>
  </si>
  <si>
    <t>Pepperoni</t>
  </si>
  <si>
    <t>Pork Riblet</t>
  </si>
  <si>
    <t>Salami</t>
  </si>
  <si>
    <t>Steak, Diced</t>
  </si>
  <si>
    <t>Blue Cheese Dressing</t>
  </si>
  <si>
    <t>Chipotle Southwest Sauce</t>
  </si>
  <si>
    <t>Garlic Aioli</t>
  </si>
  <si>
    <t>Habanero Hot Sauce</t>
  </si>
  <si>
    <t>Honey Mustard Sauce</t>
  </si>
  <si>
    <t>Marinara</t>
  </si>
  <si>
    <t>Mayonnaise</t>
  </si>
  <si>
    <t>Ranch Dressing</t>
  </si>
  <si>
    <t>Smoky BBQ Sauce</t>
  </si>
  <si>
    <t>Spicy Mayonnaise</t>
  </si>
  <si>
    <t>Sweet Chili Sauce</t>
  </si>
  <si>
    <t>Sweet Onion Sauce</t>
  </si>
  <si>
    <t>Cheddar-Style Cheese, (Slice)</t>
  </si>
  <si>
    <t>Mozzarella Cheese (shredded)</t>
  </si>
  <si>
    <t>Old English-Style Cheese (slice)</t>
  </si>
  <si>
    <t>Avocado</t>
  </si>
  <si>
    <t>Beetroot (Selected Locations Only)</t>
  </si>
  <si>
    <t>Capsicum (3 strips)</t>
  </si>
  <si>
    <t>Carrots</t>
  </si>
  <si>
    <t>Cucumbers (3 slices)</t>
  </si>
  <si>
    <t>Jalapeno Peppers (3 rings)</t>
  </si>
  <si>
    <t>Lettuce</t>
  </si>
  <si>
    <t>Onions</t>
  </si>
  <si>
    <t>Olives (3 rings)</t>
  </si>
  <si>
    <t>Pickles (3 wheels)</t>
  </si>
  <si>
    <t>Pineapple (Selected Locations Only)</t>
  </si>
  <si>
    <t>Spinach</t>
  </si>
  <si>
    <t>Tomatoes (3 wheels)</t>
  </si>
  <si>
    <t>Pepper</t>
  </si>
  <si>
    <t>Salt</t>
  </si>
  <si>
    <t>Smoothies</t>
  </si>
  <si>
    <t>Blueberry and Mango</t>
  </si>
  <si>
    <t>Strawberry</t>
  </si>
  <si>
    <t>Tropical</t>
  </si>
  <si>
    <t>Subway 6-Inch® BBQ Pulled Pork</t>
  </si>
  <si>
    <t>Subway 6-Inch® BBQ Pulled Pork with Bacon</t>
  </si>
  <si>
    <t>Pulled Pork (amount on a Subway 6-Inch® Sub)</t>
  </si>
  <si>
    <t>Sheet 2</t>
  </si>
  <si>
    <t>Values include lettuce, onions, pickles, carrots, BBQ sauce on italian herb &amp; cheese bread</t>
  </si>
  <si>
    <t>Promotional Items</t>
  </si>
  <si>
    <t>Values include lettuce, onions, jalapeno peppers, carrots, spicy mayonnaise, sliced cheddar-style cheese on white bread</t>
  </si>
  <si>
    <t xml:space="preserve">Seasonings </t>
  </si>
  <si>
    <t>Vegetables</t>
  </si>
  <si>
    <t xml:space="preserve">Cheeses </t>
  </si>
  <si>
    <t>Sauces &amp; Dressings</t>
  </si>
  <si>
    <t>Meat, Poultry, Egg, Seafood &amp; Vegetarian (add-ons)</t>
  </si>
  <si>
    <t>6-inch</t>
  </si>
  <si>
    <t>Wrap</t>
  </si>
  <si>
    <t>Mini</t>
  </si>
  <si>
    <t>Veggies - Individual</t>
  </si>
  <si>
    <t>Capsicum</t>
  </si>
  <si>
    <t>Jalapeno Peppers</t>
  </si>
  <si>
    <t>Olives</t>
  </si>
  <si>
    <t>Pickles</t>
  </si>
  <si>
    <t>Tomatoes</t>
  </si>
  <si>
    <t>Pineapple</t>
  </si>
  <si>
    <t>Serving Count</t>
  </si>
  <si>
    <t>Serving Units</t>
  </si>
  <si>
    <t>Strips</t>
  </si>
  <si>
    <t>Slices</t>
  </si>
  <si>
    <t>Rings</t>
  </si>
  <si>
    <t>Wheels</t>
  </si>
  <si>
    <t>Strip</t>
  </si>
  <si>
    <t>Slice</t>
  </si>
  <si>
    <t>Ring</t>
  </si>
  <si>
    <t>Wheel</t>
  </si>
  <si>
    <t>Cheese</t>
  </si>
  <si>
    <t>Cheddar-Style Cheese</t>
  </si>
  <si>
    <t>Old English-Style Cheese</t>
  </si>
  <si>
    <t>Toppings</t>
  </si>
  <si>
    <t>Dressing</t>
  </si>
  <si>
    <t>BBQ Pulled Pork</t>
  </si>
  <si>
    <t>BBQ Pulled Pork with Bacon</t>
  </si>
  <si>
    <t>Pulled Pork</t>
  </si>
  <si>
    <t>White Bread</t>
  </si>
  <si>
    <t>Wheat Bread</t>
  </si>
  <si>
    <t>Malted Rye Bread</t>
  </si>
  <si>
    <t>Italian Herbs &amp; Cheese Bread</t>
  </si>
  <si>
    <t>Roasted Garlic Bread</t>
  </si>
  <si>
    <t>Flour</t>
  </si>
  <si>
    <t>Gluten Free</t>
  </si>
  <si>
    <t>Cucumbers</t>
  </si>
  <si>
    <t>12-inch</t>
  </si>
  <si>
    <t>Beetroot</t>
  </si>
  <si>
    <t>SUM</t>
  </si>
  <si>
    <t>Bread size?</t>
  </si>
  <si>
    <t>What kind of bread?</t>
  </si>
  <si>
    <t>Meat?</t>
  </si>
  <si>
    <t>BREAD FORMULA</t>
  </si>
  <si>
    <t>Vegetables?</t>
  </si>
  <si>
    <t>Vegetables selected</t>
  </si>
  <si>
    <t>TRUE / FALSE</t>
  </si>
  <si>
    <t>Cheese selected</t>
  </si>
  <si>
    <t>Toppings?</t>
  </si>
  <si>
    <t>Cheese?</t>
  </si>
  <si>
    <t>Dressing?</t>
  </si>
  <si>
    <t>Toppings selected</t>
  </si>
  <si>
    <t>Pepper and salt?</t>
  </si>
  <si>
    <t>Checkbox selection</t>
  </si>
  <si>
    <t>Meat</t>
  </si>
  <si>
    <t>Selected items</t>
  </si>
  <si>
    <t>IF(C5=Q3,Q4:Q8,IF(C5=R3,R4:R8,IF(C5=S3,S4:S5,IF(C5=T3,T4:T5))))</t>
  </si>
  <si>
    <t>SUMMARY</t>
  </si>
  <si>
    <t>Bread size</t>
  </si>
  <si>
    <t>Bread type</t>
  </si>
  <si>
    <t>Meat (6-inch / Wrap)</t>
  </si>
  <si>
    <t>ㅤ</t>
  </si>
  <si>
    <t>How many?</t>
  </si>
  <si>
    <t>(optional)</t>
  </si>
  <si>
    <t>Servings</t>
  </si>
  <si>
    <t>IF(NOT(ISBLANK(P18)), IF(AND(MATCH(P18, $C:$C, 0) &lt;= 22, MATCH(P18, $C:$C, 0) &gt;= 17),  IF(NOT(ISBLANK(VLOOKUP(P18, $C$17:$G$22, 4, FALSE))), TEXTJOIN(" ", TRUE, VLOOKUP(P18, $C$17:$G$22, 4, FALSE), VLOOKUP(P18, $C$17:$G$22, 5, FALSE)), "No servings selected"), "Servings not available"), "No veg selected")</t>
  </si>
  <si>
    <t>UI servings SUMMARY display</t>
  </si>
  <si>
    <t>TOTAL</t>
  </si>
  <si>
    <t>Veggies (6-inch/Wrap)</t>
  </si>
  <si>
    <t>Toppings (6-inch / Wrap)</t>
  </si>
  <si>
    <t>Dressings selected</t>
  </si>
  <si>
    <t>Dressings</t>
  </si>
  <si>
    <t>Cheese (6-inch / Wrap)</t>
  </si>
  <si>
    <t>Dressing (6-inch / Wrap)</t>
  </si>
  <si>
    <t>Seasoning (6-inch / Wrap)</t>
  </si>
  <si>
    <t>Pepper / Salt</t>
  </si>
  <si>
    <t>Dressing(s)</t>
  </si>
  <si>
    <t>Seasoning(s)</t>
  </si>
  <si>
    <t>Cheese (Individual)</t>
  </si>
  <si>
    <t>In this sheet, named 'UI', enter your sandwich items:</t>
  </si>
  <si>
    <t>● Bread size</t>
  </si>
  <si>
    <t>● Bread type</t>
  </si>
  <si>
    <t>● Additional toppings</t>
  </si>
  <si>
    <t>● Dressings</t>
  </si>
  <si>
    <t>● Salt and pepper</t>
  </si>
  <si>
    <t>● Vegetables (with serving size)</t>
  </si>
  <si>
    <t>● Cheeses (with serving size)</t>
  </si>
  <si>
    <t>The final sandwich can be reviewed in the 'Summary' panel below.</t>
  </si>
  <si>
    <t>More information can be found in the 'Nutritional Info' sheet.</t>
  </si>
  <si>
    <t>HOW TO USE (by Jasmin :) )</t>
  </si>
  <si>
    <t>6-inch / 12-inch</t>
  </si>
  <si>
    <t>MEAT FORMULA</t>
  </si>
  <si>
    <t>IF(ISNUMBER(SEARCH($E$5,$AC$11)), $AC$12:$AC$40, IF($E$5=$AD$11, $AD$12:$AD$15, IF($E$5=$AE$11, $AE$12:$AE$28)))</t>
  </si>
  <si>
    <t>IF($E$5=$AC$3, $AC$4:$AC$8, IF($E$5=$AD$3, $AD$4:$AD$8, IF($E$5=$AE$3, $AE$4:$AE$5, IF($E$5=$AF$3, $AF$4:$AF$5))))</t>
  </si>
  <si>
    <t>If a serving size is not entered, the default standard serving portion, for the sandwich size, will be used.</t>
  </si>
  <si>
    <t>Promotional items (6-inch / Wrap)</t>
  </si>
  <si>
    <t>Toppings (Meat)</t>
  </si>
  <si>
    <t>Toppings ( Subway 6-Inch® BBQ Pulled Pork )</t>
  </si>
  <si>
    <t>Toppings ( Subway 6-Inch® BBQ Pulled Pork with Bacon )</t>
  </si>
  <si>
    <t>Column1</t>
  </si>
  <si>
    <t>Column2</t>
  </si>
  <si>
    <t>Column3</t>
  </si>
  <si>
    <t>Column4</t>
  </si>
  <si>
    <t>Column5</t>
  </si>
  <si>
    <t>Column6</t>
  </si>
  <si>
    <t>Column7</t>
  </si>
  <si>
    <t>Column8</t>
  </si>
  <si>
    <t>Column9</t>
  </si>
  <si>
    <t>Column10</t>
  </si>
  <si>
    <t>Column11</t>
  </si>
  <si>
    <t>Column12</t>
  </si>
  <si>
    <t>Column13</t>
  </si>
  <si>
    <t>Unit multiplier</t>
  </si>
  <si>
    <t>Size</t>
  </si>
  <si>
    <t>Seasonings</t>
  </si>
  <si>
    <t>Copy board</t>
  </si>
  <si>
    <t/>
  </si>
  <si>
    <t>Seasonings selected</t>
  </si>
  <si>
    <t>Default: 3 strips</t>
  </si>
  <si>
    <t>Default: 3 slices</t>
  </si>
  <si>
    <t>Default: 3 rings</t>
  </si>
  <si>
    <t>Default: 3 wheels</t>
  </si>
  <si>
    <t>To clear your selections, click the "Reset form" button.</t>
  </si>
  <si>
    <t>SANDWICH CALCULATOR FORM</t>
  </si>
  <si>
    <t>After you have entered your items in the Sandwich Calculator Form, click the "Calculate" button.</t>
  </si>
  <si>
    <t>The 'Nutritional Info' sheet is displaying errors</t>
  </si>
  <si>
    <t>If the following errors occur, click the 'Calculate' button again:</t>
  </si>
  <si>
    <t>The total table and/or macros chart in the 'UI' sheet is blank after saving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</si>
</sst>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42" x14ac:knownFonts="1">
    <font>
      <sz val="10"/>
      <color rgb="FF000000"/>
      <name val="Times New Roman"/>
      <charset val="204"/>
    </font>
    <font>
      <sz val="9.5"/>
      <name val="Verdana"/>
      <family val="2"/>
    </font>
    <font>
      <sz val="7.5"/>
      <name val="Arial"/>
      <family val="2"/>
    </font>
    <font>
      <sz val="7.5"/>
      <color rgb="FF000000"/>
      <name val="Arial"/>
      <family val="2"/>
    </font>
    <font>
      <sz val="7.5"/>
      <color rgb="FFFFFFFF"/>
      <name val="Arial"/>
      <family val="2"/>
    </font>
    <font>
      <i/>
      <sz val="7.5"/>
      <name val="Arial"/>
      <family val="2"/>
    </font>
    <font>
      <vertAlign val="superscript"/>
      <sz val="7.5"/>
      <color rgb="FFFFFFFF"/>
      <name val="Arial"/>
      <family val="2"/>
    </font>
    <font>
      <sz val="5.5"/>
      <color rgb="FF008938"/>
      <name val="Arial"/>
      <family val="2"/>
    </font>
    <font>
      <sz val="12"/>
      <color rgb="FF000000"/>
      <name val="Calibri"/>
      <family val="2"/>
      <scheme val="minor"/>
    </font>
    <font>
      <sz val="12"/>
      <color theme="1"/>
      <name val="Calibri"/>
      <family val="2"/>
      <scheme val="minor"/>
    </font>
    <font>
      <i/>
      <sz val="12"/>
      <color theme="1"/>
      <name val="Calibri"/>
      <family val="2"/>
      <scheme val="minor"/>
    </font>
    <font>
      <b/>
      <sz val="12"/>
      <color theme="1"/>
      <name val="Calibri"/>
      <family val="2"/>
      <scheme val="minor"/>
    </font>
    <font>
      <sz val="12"/>
      <color theme="0"/>
      <name val="Calibri"/>
      <family val="2"/>
      <scheme val="minor"/>
    </font>
    <font>
      <b/>
      <sz val="12"/>
      <color theme="0"/>
      <name val="Calibri"/>
      <family val="2"/>
      <scheme val="minor"/>
    </font>
    <font>
      <b/>
      <sz val="12"/>
      <color rgb="FF000000"/>
      <name val="Calibri"/>
      <family val="2"/>
      <scheme val="minor"/>
    </font>
    <font>
      <i/>
      <sz val="12"/>
      <color rgb="FF000000"/>
      <name val="Calibri"/>
      <family val="2"/>
      <scheme val="minor"/>
    </font>
    <font>
      <sz val="8"/>
      <name val="Times New Roman"/>
      <charset val="204"/>
    </font>
    <font>
      <b/>
      <sz val="18"/>
      <color rgb="FF000000"/>
      <name val="Calibri"/>
      <family val="2"/>
      <scheme val="minor"/>
    </font>
    <font>
      <b/>
      <sz val="16"/>
      <color theme="0"/>
      <name val="Calibri"/>
      <family val="2"/>
      <scheme val="minor"/>
    </font>
    <font>
      <b/>
      <sz val="16"/>
      <color rgb="FF000000"/>
      <name val="Calibri"/>
      <family val="2"/>
      <scheme val="minor"/>
    </font>
    <font>
      <sz val="16"/>
      <color rgb="FF000000"/>
      <name val="Calibri"/>
      <family val="2"/>
      <scheme val="minor"/>
    </font>
    <font>
      <sz val="16"/>
      <color rgb="FF000000"/>
      <name val="Times New Roman"/>
      <family val="1"/>
    </font>
    <font>
      <sz val="16"/>
      <color theme="0"/>
      <name val="Times New Roman"/>
      <family val="1"/>
    </font>
    <font>
      <u/>
      <sz val="16"/>
      <color rgb="FF000000"/>
      <name val="Times New Roman"/>
      <family val="1"/>
    </font>
    <font>
      <sz val="16"/>
      <color theme="0"/>
      <name val="Calibri"/>
      <family val="2"/>
      <scheme val="minor"/>
    </font>
    <font>
      <b/>
      <sz val="36"/>
      <color theme="0"/>
      <name val="Calibri"/>
      <family val="2"/>
      <scheme val="minor"/>
    </font>
    <font>
      <b/>
      <sz val="26"/>
      <color theme="1"/>
      <name val="Calibri"/>
      <family val="2"/>
      <scheme val="minor"/>
    </font>
    <font>
      <sz val="18"/>
      <color theme="1"/>
      <name val="Calibri"/>
      <family val="2"/>
      <scheme val="minor"/>
    </font>
    <font>
      <b/>
      <sz val="20"/>
      <color theme="1"/>
      <name val="Calibri"/>
      <family val="2"/>
      <scheme val="minor"/>
    </font>
    <font>
      <b/>
      <sz val="36"/>
      <color theme="2"/>
      <name val="Calibri"/>
      <family val="2"/>
      <scheme val="minor"/>
    </font>
    <font>
      <b/>
      <sz val="48"/>
      <color theme="0"/>
      <name val="Calibri"/>
      <family val="2"/>
      <scheme val="minor"/>
    </font>
    <font>
      <sz val="20"/>
      <color rgb="FF000000"/>
      <name val="Times New Roman"/>
      <family val="1"/>
    </font>
    <font>
      <sz val="20"/>
      <color rgb="FF000000"/>
      <name val="Calibri"/>
      <family val="2"/>
      <scheme val="minor"/>
    </font>
    <font>
      <i/>
      <sz val="16"/>
      <color rgb="FF000000"/>
      <name val="Calibri"/>
      <family val="2"/>
      <scheme val="minor"/>
    </font>
    <font>
      <b/>
      <sz val="16"/>
      <color theme="2"/>
      <name val="Calibri"/>
      <family val="2"/>
      <scheme val="minor"/>
    </font>
    <font>
      <b/>
      <sz val="16"/>
      <color theme="1"/>
      <name val="Calibri"/>
      <family val="2"/>
      <scheme val="minor"/>
    </font>
    <font>
      <sz val="16"/>
      <color theme="1"/>
      <name val="Calibri"/>
      <family val="2"/>
      <scheme val="minor"/>
    </font>
    <font>
      <sz val="16"/>
      <color theme="2"/>
      <name val="Calibri"/>
      <family val="2"/>
      <scheme val="minor"/>
    </font>
    <font>
      <b/>
      <sz val="36"/>
      <color theme="1"/>
      <name val="Calibri"/>
      <family val="2"/>
      <scheme val="minor"/>
    </font>
    <font>
      <b/>
      <sz val="20"/>
      <color rgb="FF000000"/>
      <name val="Calibri"/>
      <family val="2"/>
      <scheme val="minor"/>
    </font>
    <font>
      <sz val="20"/>
      <color theme="1"/>
      <name val="Calibri"/>
      <family val="2"/>
      <scheme val="minor"/>
    </font>
    <font>
      <sz val="20"/>
      <color rgb="FF000000"/>
      <name val="Calibri"/>
      <family val="2"/>
    </font>
  </fonts>
  <fills count="27">
    <fill>
      <patternFill patternType="none"/>
    </fill>
    <fill>
      <patternFill patternType="gray125"/>
    </fill>
    <fill>
      <patternFill patternType="solid">
        <fgColor rgb="FFE2EFDA"/>
      </patternFill>
    </fill>
    <fill>
      <patternFill patternType="solid">
        <fgColor rgb="FF008938"/>
      </patternFill>
    </fill>
    <fill>
      <patternFill patternType="solid">
        <fgColor theme="8" tint="0.79998168889431442"/>
        <bgColor indexed="64"/>
      </patternFill>
    </fill>
    <fill>
      <patternFill patternType="solid">
        <fgColor theme="3" tint="-0.249977111117893"/>
        <bgColor indexed="64"/>
      </patternFill>
    </fill>
    <fill>
      <patternFill patternType="solid">
        <fgColor theme="7" tint="0.59999389629810485"/>
        <bgColor indexed="64"/>
      </patternFill>
    </fill>
    <fill>
      <patternFill patternType="solid">
        <fgColor theme="7" tint="-0.249977111117893"/>
        <bgColor indexed="64"/>
      </patternFill>
    </fill>
    <fill>
      <patternFill patternType="solid">
        <fgColor theme="7" tint="0.79998168889431442"/>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theme="4" tint="0.59999389629810485"/>
        <bgColor indexed="64"/>
      </patternFill>
    </fill>
    <fill>
      <patternFill patternType="solid">
        <fgColor theme="3" tint="0.39997558519241921"/>
        <bgColor indexed="64"/>
      </patternFill>
    </fill>
    <fill>
      <patternFill patternType="solid">
        <fgColor theme="9" tint="0.79998168889431442"/>
        <bgColor indexed="64"/>
      </patternFill>
    </fill>
    <fill>
      <patternFill patternType="solid">
        <fgColor theme="9" tint="-0.499984740745262"/>
        <bgColor indexed="64"/>
      </patternFill>
    </fill>
    <fill>
      <patternFill patternType="solid">
        <fgColor theme="9" tint="0.39997558519241921"/>
        <bgColor indexed="64"/>
      </patternFill>
    </fill>
    <fill>
      <patternFill patternType="solid">
        <fgColor theme="8" tint="-0.249977111117893"/>
        <bgColor indexed="64"/>
      </patternFill>
    </fill>
    <fill>
      <patternFill patternType="solid">
        <fgColor theme="8" tint="0.59999389629810485"/>
        <bgColor indexed="64"/>
      </patternFill>
    </fill>
    <fill>
      <patternFill patternType="solid">
        <fgColor theme="7"/>
        <bgColor theme="7"/>
      </patternFill>
    </fill>
    <fill>
      <patternFill patternType="solid">
        <fgColor theme="7" tint="0.79998168889431442"/>
        <bgColor theme="7" tint="0.79998168889431442"/>
      </patternFill>
    </fill>
    <fill>
      <patternFill patternType="solid">
        <fgColor theme="6" tint="-0.249977111117893"/>
        <bgColor indexed="64"/>
      </patternFill>
    </fill>
    <fill>
      <patternFill patternType="solid">
        <fgColor theme="6" tint="0.59999389629810485"/>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6"/>
        <bgColor theme="6"/>
      </patternFill>
    </fill>
    <fill>
      <patternFill patternType="solid">
        <fgColor theme="6" tint="0.79998168889431442"/>
        <bgColor theme="6" tint="0.79998168889431442"/>
      </patternFill>
    </fill>
    <fill>
      <patternFill patternType="solid">
        <fgColor theme="0"/>
        <bgColor indexed="64"/>
      </patternFill>
    </fill>
  </fills>
  <borders count="53">
    <border>
      <left/>
      <right/>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top/>
      <bottom style="thin">
        <color theme="3"/>
      </bottom>
      <diagonal/>
    </border>
    <border>
      <left style="thin">
        <color theme="3"/>
      </left>
      <right/>
      <top style="thin">
        <color theme="3"/>
      </top>
      <bottom style="thin">
        <color theme="3"/>
      </bottom>
      <diagonal/>
    </border>
    <border>
      <left/>
      <right style="thin">
        <color theme="3"/>
      </right>
      <top style="thin">
        <color theme="3"/>
      </top>
      <bottom style="thin">
        <color theme="3"/>
      </bottom>
      <diagonal/>
    </border>
    <border>
      <left style="thin">
        <color theme="3"/>
      </left>
      <right/>
      <top/>
      <bottom style="thin">
        <color theme="3"/>
      </bottom>
      <diagonal/>
    </border>
    <border>
      <left/>
      <right style="thin">
        <color theme="3"/>
      </right>
      <top/>
      <bottom style="thin">
        <color theme="3"/>
      </bottom>
      <diagonal/>
    </border>
    <border>
      <left/>
      <right style="thin">
        <color theme="7"/>
      </right>
      <top/>
      <bottom/>
      <diagonal/>
    </border>
    <border>
      <left style="thin">
        <color theme="3"/>
      </left>
      <right/>
      <top/>
      <bottom/>
      <diagonal/>
    </border>
    <border>
      <left style="thin">
        <color theme="3"/>
      </left>
      <right/>
      <top/>
      <bottom style="thin">
        <color theme="8" tint="-0.499984740745262"/>
      </bottom>
      <diagonal/>
    </border>
    <border>
      <left/>
      <right/>
      <top/>
      <bottom style="thin">
        <color theme="8" tint="-0.499984740745262"/>
      </bottom>
      <diagonal/>
    </border>
    <border>
      <left/>
      <right/>
      <top style="thin">
        <color theme="8" tint="-0.499984740745262"/>
      </top>
      <bottom style="thin">
        <color theme="8" tint="-0.499984740745262"/>
      </bottom>
      <diagonal/>
    </border>
    <border>
      <left style="thin">
        <color theme="8" tint="-0.499984740745262"/>
      </left>
      <right style="thin">
        <color theme="8" tint="-0.499984740745262"/>
      </right>
      <top style="thin">
        <color theme="8" tint="-0.499984740745262"/>
      </top>
      <bottom style="thin">
        <color theme="8" tint="-0.499984740745262"/>
      </bottom>
      <diagonal/>
    </border>
    <border>
      <left/>
      <right/>
      <top style="thin">
        <color theme="3"/>
      </top>
      <bottom style="thin">
        <color theme="3"/>
      </bottom>
      <diagonal/>
    </border>
    <border>
      <left/>
      <right/>
      <top style="thin">
        <color theme="3"/>
      </top>
      <bottom/>
      <diagonal/>
    </border>
    <border>
      <left style="thin">
        <color theme="8" tint="-0.499984740745262"/>
      </left>
      <right/>
      <top style="thin">
        <color theme="8" tint="-0.499984740745262"/>
      </top>
      <bottom style="thin">
        <color theme="8" tint="-0.499984740745262"/>
      </bottom>
      <diagonal/>
    </border>
    <border>
      <left style="thin">
        <color theme="3" tint="-0.499984740745262"/>
      </left>
      <right/>
      <top style="thin">
        <color theme="3" tint="-0.499984740745262"/>
      </top>
      <bottom style="thin">
        <color theme="3" tint="-0.499984740745262"/>
      </bottom>
      <diagonal/>
    </border>
    <border>
      <left/>
      <right style="thin">
        <color theme="3" tint="-0.499984740745262"/>
      </right>
      <top style="thin">
        <color theme="3" tint="-0.499984740745262"/>
      </top>
      <bottom style="thin">
        <color theme="3" tint="-0.499984740745262"/>
      </bottom>
      <diagonal/>
    </border>
    <border>
      <left style="thin">
        <color theme="8" tint="-0.499984740745262"/>
      </left>
      <right/>
      <top style="thin">
        <color theme="8" tint="-0.499984740745262"/>
      </top>
      <bottom/>
      <diagonal/>
    </border>
    <border>
      <left/>
      <right style="thin">
        <color theme="8" tint="-0.499984740745262"/>
      </right>
      <top style="thin">
        <color theme="8" tint="-0.499984740745262"/>
      </top>
      <bottom/>
      <diagonal/>
    </border>
    <border>
      <left style="thin">
        <color theme="8" tint="-0.499984740745262"/>
      </left>
      <right/>
      <top/>
      <bottom style="thin">
        <color theme="8" tint="-0.499984740745262"/>
      </bottom>
      <diagonal/>
    </border>
    <border>
      <left/>
      <right style="thin">
        <color theme="8" tint="-0.499984740745262"/>
      </right>
      <top/>
      <bottom style="thin">
        <color theme="8" tint="-0.499984740745262"/>
      </bottom>
      <diagonal/>
    </border>
    <border>
      <left/>
      <right/>
      <top style="thin">
        <color theme="7" tint="0.39997558519241921"/>
      </top>
      <bottom/>
      <diagonal/>
    </border>
    <border>
      <left/>
      <right/>
      <top style="thin">
        <color theme="4" tint="0.39997558519241921"/>
      </top>
      <bottom style="thin">
        <color theme="4" tint="0.39997558519241921"/>
      </bottom>
      <diagonal/>
    </border>
    <border>
      <left/>
      <right/>
      <top style="thin">
        <color indexed="64"/>
      </top>
      <bottom/>
      <diagonal/>
    </border>
    <border>
      <left/>
      <right/>
      <top/>
      <bottom style="thin">
        <color indexed="64"/>
      </bottom>
      <diagonal/>
    </border>
    <border>
      <left/>
      <right/>
      <top style="thin">
        <color theme="6" tint="0.39997558519241921"/>
      </top>
      <bottom style="thin">
        <color theme="6" tint="0.39997558519241921"/>
      </bottom>
      <diagonal/>
    </border>
    <border>
      <left/>
      <right/>
      <top/>
      <bottom style="thin">
        <color theme="4" tint="0.39997558519241921"/>
      </bottom>
      <diagonal/>
    </border>
    <border>
      <left/>
      <right/>
      <top style="thin">
        <color theme="4" tint="0.39997558519241921"/>
      </top>
      <bottom/>
      <diagonal/>
    </border>
    <border>
      <left/>
      <right/>
      <top/>
      <bottom style="thin">
        <color theme="6" tint="0.39997558519241921"/>
      </bottom>
      <diagonal/>
    </border>
    <border>
      <left/>
      <right/>
      <top style="thin">
        <color theme="6" tint="0.39997558519241921"/>
      </top>
      <bottom/>
      <diagonal/>
    </border>
    <border>
      <left style="thin">
        <color indexed="64"/>
      </left>
      <right style="thin">
        <color indexed="64"/>
      </right>
      <top style="thin">
        <color indexed="64"/>
      </top>
      <bottom style="thin">
        <color indexed="64"/>
      </bottom>
      <diagonal/>
    </border>
    <border>
      <left style="thick">
        <color theme="7" tint="-0.499984740745262"/>
      </left>
      <right style="thick">
        <color theme="7" tint="-0.499984740745262"/>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ck">
        <color theme="7" tint="-0.499984740745262"/>
      </bottom>
      <diagonal/>
    </border>
    <border>
      <left/>
      <right/>
      <top style="medium">
        <color indexed="64"/>
      </top>
      <bottom style="thick">
        <color theme="7" tint="-0.499984740745262"/>
      </bottom>
      <diagonal/>
    </border>
    <border>
      <left/>
      <right style="medium">
        <color indexed="64"/>
      </right>
      <top style="medium">
        <color indexed="64"/>
      </top>
      <bottom style="thick">
        <color theme="7" tint="-0.499984740745262"/>
      </bottom>
      <diagonal/>
    </border>
    <border>
      <left style="medium">
        <color indexed="64"/>
      </left>
      <right style="thick">
        <color theme="7" tint="-0.499984740745262"/>
      </right>
      <top/>
      <bottom/>
      <diagonal/>
    </border>
    <border>
      <left style="thick">
        <color theme="7" tint="-0.499984740745262"/>
      </left>
      <right style="medium">
        <color indexed="64"/>
      </right>
      <top/>
      <bottom/>
      <diagonal/>
    </border>
    <border>
      <left style="medium">
        <color indexed="64"/>
      </left>
      <right style="thin">
        <color indexed="64"/>
      </right>
      <top style="thin">
        <color indexed="64"/>
      </top>
      <bottom style="thin">
        <color indexed="64"/>
      </bottom>
      <diagonal/>
    </border>
    <border>
      <left style="medium">
        <color indexed="64"/>
      </left>
      <right/>
      <top style="thick">
        <color theme="8" tint="-0.499984740745262"/>
      </top>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97">
    <xf numFmtId="0" fontId="0" fillId="0" borderId="0" xfId="0" applyAlignment="1">
      <alignment horizontal="left" vertical="top"/>
    </xf>
    <xf numFmtId="0" fontId="1" fillId="0" borderId="1" xfId="0" applyFont="1" applyBorder="1" applyAlignment="1">
      <alignment horizontal="left" wrapText="1"/>
    </xf>
    <xf numFmtId="0" fontId="1" fillId="2" borderId="1" xfId="0" applyFont="1" applyFill="1" applyBorder="1" applyAlignment="1">
      <alignment horizontal="left" textRotation="90" wrapText="1"/>
    </xf>
    <xf numFmtId="0" fontId="1" fillId="0" borderId="1" xfId="0" applyFont="1" applyBorder="1" applyAlignment="1">
      <alignment horizontal="left" textRotation="90" wrapText="1"/>
    </xf>
    <xf numFmtId="0" fontId="2" fillId="0" borderId="1" xfId="0" applyFont="1" applyBorder="1" applyAlignment="1">
      <alignment horizontal="left" vertical="top" wrapText="1"/>
    </xf>
    <xf numFmtId="1" fontId="3" fillId="2" borderId="1" xfId="0" applyNumberFormat="1" applyFont="1" applyFill="1" applyBorder="1" applyAlignment="1">
      <alignment horizontal="right" vertical="top" shrinkToFit="1"/>
    </xf>
    <xf numFmtId="1" fontId="3" fillId="0" borderId="1" xfId="0" applyNumberFormat="1" applyFont="1" applyBorder="1" applyAlignment="1">
      <alignment horizontal="right" vertical="top" shrinkToFit="1"/>
    </xf>
    <xf numFmtId="164" fontId="3" fillId="0" borderId="1" xfId="0" applyNumberFormat="1" applyFont="1" applyBorder="1" applyAlignment="1">
      <alignment horizontal="right" vertical="top" shrinkToFit="1"/>
    </xf>
    <xf numFmtId="164" fontId="3" fillId="2" borderId="1" xfId="0" applyNumberFormat="1" applyFont="1" applyFill="1" applyBorder="1" applyAlignment="1">
      <alignment horizontal="right" vertical="top" shrinkToFit="1"/>
    </xf>
    <xf numFmtId="0" fontId="0" fillId="0" borderId="1" xfId="0" applyBorder="1" applyAlignment="1">
      <alignment horizontal="left" vertical="top" wrapText="1"/>
    </xf>
    <xf numFmtId="0" fontId="8" fillId="0" borderId="0" xfId="0" applyFont="1" applyAlignment="1">
      <alignment horizontal="left" vertical="top"/>
    </xf>
    <xf numFmtId="0" fontId="9" fillId="0" borderId="0" xfId="0" applyFont="1" applyAlignment="1">
      <alignment horizontal="left" vertical="top"/>
    </xf>
    <xf numFmtId="0" fontId="11" fillId="4" borderId="0" xfId="0" applyFont="1" applyFill="1" applyAlignment="1">
      <alignment horizontal="left" vertical="top"/>
    </xf>
    <xf numFmtId="0" fontId="12" fillId="0" borderId="0" xfId="0" applyFont="1" applyAlignment="1">
      <alignment horizontal="left" vertical="top"/>
    </xf>
    <xf numFmtId="0" fontId="9" fillId="4" borderId="0" xfId="0" applyFont="1" applyFill="1" applyAlignment="1">
      <alignment horizontal="left" vertical="top"/>
    </xf>
    <xf numFmtId="0" fontId="14" fillId="0" borderId="0" xfId="0" applyFont="1" applyAlignment="1">
      <alignment horizontal="left" vertical="top"/>
    </xf>
    <xf numFmtId="0" fontId="14" fillId="4" borderId="0" xfId="0" applyFont="1" applyFill="1" applyAlignment="1">
      <alignment horizontal="left" vertical="top"/>
    </xf>
    <xf numFmtId="0" fontId="13" fillId="5" borderId="0" xfId="0" applyFont="1" applyFill="1" applyAlignment="1">
      <alignment horizontal="left" vertical="top"/>
    </xf>
    <xf numFmtId="0" fontId="8" fillId="4" borderId="0" xfId="0" applyFont="1" applyFill="1" applyAlignment="1">
      <alignment horizontal="left" vertical="top"/>
    </xf>
    <xf numFmtId="2" fontId="8" fillId="0" borderId="0" xfId="0" applyNumberFormat="1" applyFont="1" applyAlignment="1">
      <alignment horizontal="left" vertical="top"/>
    </xf>
    <xf numFmtId="0" fontId="8" fillId="10" borderId="0" xfId="0" applyFont="1" applyFill="1" applyAlignment="1">
      <alignment horizontal="center" vertical="top"/>
    </xf>
    <xf numFmtId="0" fontId="13" fillId="12" borderId="0" xfId="0" applyFont="1" applyFill="1" applyAlignment="1">
      <alignment horizontal="center" vertical="top"/>
    </xf>
    <xf numFmtId="164" fontId="9" fillId="0" borderId="0" xfId="0" applyNumberFormat="1" applyFont="1" applyAlignment="1">
      <alignment horizontal="left" vertical="top"/>
    </xf>
    <xf numFmtId="164" fontId="8" fillId="0" borderId="0" xfId="0" applyNumberFormat="1" applyFont="1" applyAlignment="1">
      <alignment horizontal="left" vertical="top"/>
    </xf>
    <xf numFmtId="0" fontId="9" fillId="19" borderId="25" xfId="0" applyFont="1" applyFill="1" applyBorder="1" applyAlignment="1">
      <alignment horizontal="left" vertical="top"/>
    </xf>
    <xf numFmtId="0" fontId="9" fillId="0" borderId="25" xfId="0" applyFont="1" applyBorder="1" applyAlignment="1">
      <alignment horizontal="left" vertical="top"/>
    </xf>
    <xf numFmtId="0" fontId="20" fillId="10" borderId="0" xfId="0" applyFont="1" applyFill="1" applyAlignment="1">
      <alignment vertical="center"/>
    </xf>
    <xf numFmtId="0" fontId="21" fillId="10" borderId="0" xfId="0" applyFont="1" applyFill="1" applyAlignment="1">
      <alignment horizontal="left" vertical="center"/>
    </xf>
    <xf numFmtId="0" fontId="19" fillId="10" borderId="0" xfId="0" applyFont="1" applyFill="1" applyAlignment="1">
      <alignment horizontal="left" vertical="center"/>
    </xf>
    <xf numFmtId="0" fontId="20" fillId="10" borderId="15" xfId="0" applyFont="1" applyFill="1" applyBorder="1" applyAlignment="1">
      <alignment horizontal="right" vertical="center"/>
    </xf>
    <xf numFmtId="0" fontId="20" fillId="10" borderId="15" xfId="0" applyFont="1" applyFill="1" applyBorder="1" applyAlignment="1">
      <alignment horizontal="left" vertical="center"/>
    </xf>
    <xf numFmtId="0" fontId="20" fillId="10" borderId="0" xfId="0" applyFont="1" applyFill="1" applyAlignment="1">
      <alignment horizontal="left" vertical="center"/>
    </xf>
    <xf numFmtId="0" fontId="20" fillId="10" borderId="18" xfId="0" applyFont="1" applyFill="1" applyBorder="1" applyAlignment="1">
      <alignment horizontal="right" vertical="center"/>
    </xf>
    <xf numFmtId="0" fontId="21" fillId="21" borderId="0" xfId="0" applyFont="1" applyFill="1" applyAlignment="1">
      <alignment horizontal="left" vertical="center"/>
    </xf>
    <xf numFmtId="0" fontId="20" fillId="21" borderId="0" xfId="0" applyFont="1" applyFill="1" applyAlignment="1">
      <alignment horizontal="left" vertical="center"/>
    </xf>
    <xf numFmtId="0" fontId="21" fillId="5" borderId="0" xfId="0" applyFont="1" applyFill="1" applyAlignment="1">
      <alignment horizontal="left" vertical="center"/>
    </xf>
    <xf numFmtId="0" fontId="21" fillId="0" borderId="0" xfId="0" applyFont="1" applyAlignment="1">
      <alignment horizontal="left" vertical="center"/>
    </xf>
    <xf numFmtId="0" fontId="18" fillId="14" borderId="0" xfId="0" applyFont="1" applyFill="1" applyAlignment="1">
      <alignment vertical="center"/>
    </xf>
    <xf numFmtId="0" fontId="19" fillId="15" borderId="0" xfId="0" applyFont="1" applyFill="1" applyAlignment="1">
      <alignment horizontal="left" vertical="center"/>
    </xf>
    <xf numFmtId="0" fontId="21" fillId="10" borderId="5" xfId="0" applyFont="1" applyFill="1" applyBorder="1" applyAlignment="1">
      <alignment horizontal="left" vertical="center"/>
    </xf>
    <xf numFmtId="0" fontId="20" fillId="13" borderId="0" xfId="0" applyFont="1" applyFill="1" applyAlignment="1">
      <alignment horizontal="left" vertical="center"/>
    </xf>
    <xf numFmtId="0" fontId="20" fillId="10" borderId="6" xfId="0" applyFont="1" applyFill="1" applyBorder="1" applyAlignment="1">
      <alignment horizontal="left" vertical="center"/>
    </xf>
    <xf numFmtId="0" fontId="23" fillId="10" borderId="7" xfId="0" applyFont="1" applyFill="1" applyBorder="1" applyAlignment="1">
      <alignment horizontal="left" vertical="center"/>
    </xf>
    <xf numFmtId="0" fontId="21" fillId="10" borderId="7" xfId="0" applyFont="1" applyFill="1" applyBorder="1" applyAlignment="1">
      <alignment horizontal="left" vertical="center"/>
    </xf>
    <xf numFmtId="0" fontId="20" fillId="10" borderId="8" xfId="0" applyFont="1" applyFill="1" applyBorder="1" applyAlignment="1">
      <alignment horizontal="left" vertical="center"/>
    </xf>
    <xf numFmtId="0" fontId="21" fillId="10" borderId="9" xfId="0" applyFont="1" applyFill="1" applyBorder="1" applyAlignment="1">
      <alignment horizontal="left" vertical="center"/>
    </xf>
    <xf numFmtId="0" fontId="20" fillId="0" borderId="0" xfId="0" applyFont="1" applyAlignment="1">
      <alignment horizontal="left" vertical="center"/>
    </xf>
    <xf numFmtId="0" fontId="21" fillId="10" borderId="16" xfId="0" applyFont="1" applyFill="1" applyBorder="1" applyAlignment="1">
      <alignment horizontal="left" vertical="center"/>
    </xf>
    <xf numFmtId="0" fontId="21" fillId="10" borderId="17" xfId="0" applyFont="1" applyFill="1" applyBorder="1" applyAlignment="1">
      <alignment horizontal="left" vertical="center"/>
    </xf>
    <xf numFmtId="0" fontId="21" fillId="10" borderId="14" xfId="0" applyFont="1" applyFill="1" applyBorder="1" applyAlignment="1">
      <alignment horizontal="left" vertical="center"/>
    </xf>
    <xf numFmtId="0" fontId="20" fillId="10" borderId="9" xfId="0" applyFont="1" applyFill="1" applyBorder="1" applyAlignment="1">
      <alignment horizontal="left" vertical="center"/>
    </xf>
    <xf numFmtId="0" fontId="21" fillId="7" borderId="0" xfId="0" applyFont="1" applyFill="1" applyAlignment="1">
      <alignment horizontal="left" vertical="center"/>
    </xf>
    <xf numFmtId="0" fontId="20" fillId="10" borderId="19" xfId="0" applyFont="1" applyFill="1" applyBorder="1" applyAlignment="1">
      <alignment horizontal="left" vertical="center"/>
    </xf>
    <xf numFmtId="0" fontId="21" fillId="10" borderId="20" xfId="0" applyFont="1" applyFill="1" applyBorder="1" applyAlignment="1">
      <alignment horizontal="left" vertical="center"/>
    </xf>
    <xf numFmtId="0" fontId="20" fillId="10" borderId="20" xfId="0" applyFont="1" applyFill="1" applyBorder="1" applyAlignment="1">
      <alignment horizontal="left" vertical="center"/>
    </xf>
    <xf numFmtId="0" fontId="20" fillId="10" borderId="21" xfId="0" applyFont="1" applyFill="1" applyBorder="1" applyAlignment="1">
      <alignment horizontal="left" vertical="center"/>
    </xf>
    <xf numFmtId="0" fontId="21" fillId="10" borderId="22" xfId="0" applyFont="1" applyFill="1" applyBorder="1" applyAlignment="1">
      <alignment horizontal="left" vertical="center"/>
    </xf>
    <xf numFmtId="0" fontId="20" fillId="10" borderId="23" xfId="0" applyFont="1" applyFill="1" applyBorder="1" applyAlignment="1">
      <alignment horizontal="left" vertical="center"/>
    </xf>
    <xf numFmtId="0" fontId="21" fillId="10" borderId="24" xfId="0" applyFont="1" applyFill="1" applyBorder="1" applyAlignment="1">
      <alignment horizontal="left" vertical="center"/>
    </xf>
    <xf numFmtId="0" fontId="21" fillId="10" borderId="18" xfId="0" applyFont="1" applyFill="1" applyBorder="1" applyAlignment="1">
      <alignment horizontal="right" vertical="center"/>
    </xf>
    <xf numFmtId="0" fontId="20" fillId="10" borderId="7" xfId="0" applyFont="1" applyFill="1" applyBorder="1" applyAlignment="1">
      <alignment horizontal="left" vertical="center"/>
    </xf>
    <xf numFmtId="0" fontId="21" fillId="9" borderId="0" xfId="0" applyFont="1" applyFill="1" applyAlignment="1">
      <alignment horizontal="right" vertical="center"/>
    </xf>
    <xf numFmtId="0" fontId="19" fillId="9" borderId="0" xfId="0" applyFont="1" applyFill="1" applyAlignment="1">
      <alignment horizontal="right" vertical="center"/>
    </xf>
    <xf numFmtId="0" fontId="20" fillId="9" borderId="0" xfId="0" applyFont="1" applyFill="1" applyAlignment="1">
      <alignment horizontal="right" vertical="center"/>
    </xf>
    <xf numFmtId="0" fontId="22" fillId="9" borderId="0" xfId="0" applyFont="1" applyFill="1" applyAlignment="1">
      <alignment horizontal="right" vertical="center"/>
    </xf>
    <xf numFmtId="164" fontId="14" fillId="0" borderId="0" xfId="0" applyNumberFormat="1" applyFont="1" applyAlignment="1">
      <alignment horizontal="left" vertical="top"/>
    </xf>
    <xf numFmtId="0" fontId="18" fillId="14" borderId="0" xfId="0" applyFont="1" applyFill="1" applyAlignment="1">
      <alignment horizontal="left" vertical="center"/>
    </xf>
    <xf numFmtId="0" fontId="24" fillId="14" borderId="0" xfId="0" applyFont="1" applyFill="1" applyAlignment="1">
      <alignment horizontal="left" vertical="center"/>
    </xf>
    <xf numFmtId="0" fontId="0" fillId="10" borderId="0" xfId="0" applyFill="1" applyAlignment="1">
      <alignment horizontal="left" vertical="top"/>
    </xf>
    <xf numFmtId="0" fontId="20" fillId="10" borderId="0" xfId="0" applyFont="1" applyFill="1" applyAlignment="1">
      <alignment horizontal="right" vertical="center"/>
    </xf>
    <xf numFmtId="0" fontId="22" fillId="10" borderId="0" xfId="0" applyFont="1" applyFill="1" applyAlignment="1">
      <alignment horizontal="right" vertical="center"/>
    </xf>
    <xf numFmtId="0" fontId="19" fillId="10" borderId="0" xfId="0" applyFont="1" applyFill="1" applyAlignment="1">
      <alignment horizontal="right" vertical="center"/>
    </xf>
    <xf numFmtId="0" fontId="21" fillId="10" borderId="0" xfId="0" applyFont="1" applyFill="1" applyAlignment="1">
      <alignment horizontal="right" vertical="center"/>
    </xf>
    <xf numFmtId="0" fontId="23" fillId="10" borderId="0" xfId="0" applyFont="1" applyFill="1" applyAlignment="1">
      <alignment horizontal="left" vertical="center"/>
    </xf>
    <xf numFmtId="0" fontId="8" fillId="0" borderId="0" xfId="0" applyFont="1" applyAlignment="1">
      <alignment horizontal="left" vertical="top" wrapText="1"/>
    </xf>
    <xf numFmtId="0" fontId="15" fillId="0" borderId="0" xfId="0" applyFont="1" applyAlignment="1">
      <alignment horizontal="left" vertical="top"/>
    </xf>
    <xf numFmtId="0" fontId="8" fillId="0" borderId="27" xfId="0" applyFont="1" applyBorder="1" applyAlignment="1">
      <alignment horizontal="left" vertical="top"/>
    </xf>
    <xf numFmtId="0" fontId="15" fillId="0" borderId="28" xfId="0" applyFont="1" applyBorder="1" applyAlignment="1">
      <alignment horizontal="left" vertical="top" wrapText="1"/>
    </xf>
    <xf numFmtId="0" fontId="8" fillId="0" borderId="28" xfId="0" applyFont="1" applyBorder="1" applyAlignment="1">
      <alignment horizontal="left" vertical="top"/>
    </xf>
    <xf numFmtId="164" fontId="9" fillId="23" borderId="26" xfId="0" applyNumberFormat="1" applyFont="1" applyFill="1" applyBorder="1" applyAlignment="1">
      <alignment horizontal="left" vertical="top"/>
    </xf>
    <xf numFmtId="0" fontId="9" fillId="25" borderId="29" xfId="0" applyFont="1" applyFill="1" applyBorder="1" applyAlignment="1">
      <alignment horizontal="left" vertical="top"/>
    </xf>
    <xf numFmtId="2" fontId="9" fillId="25" borderId="29" xfId="0" applyNumberFormat="1" applyFont="1" applyFill="1" applyBorder="1" applyAlignment="1">
      <alignment horizontal="left" vertical="top"/>
    </xf>
    <xf numFmtId="0" fontId="9" fillId="0" borderId="29" xfId="0" applyFont="1" applyBorder="1" applyAlignment="1">
      <alignment horizontal="left" vertical="top"/>
    </xf>
    <xf numFmtId="2" fontId="9" fillId="0" borderId="29" xfId="0" applyNumberFormat="1" applyFont="1" applyBorder="1" applyAlignment="1">
      <alignment horizontal="left" vertical="top"/>
    </xf>
    <xf numFmtId="0" fontId="13" fillId="22" borderId="30" xfId="0" applyFont="1" applyFill="1" applyBorder="1" applyAlignment="1">
      <alignment horizontal="left" vertical="top"/>
    </xf>
    <xf numFmtId="164" fontId="9" fillId="0" borderId="31" xfId="0" applyNumberFormat="1" applyFont="1" applyBorder="1" applyAlignment="1">
      <alignment horizontal="left" vertical="top"/>
    </xf>
    <xf numFmtId="0" fontId="13" fillId="24" borderId="32" xfId="0" applyFont="1" applyFill="1" applyBorder="1" applyAlignment="1">
      <alignment horizontal="left" vertical="top"/>
    </xf>
    <xf numFmtId="0" fontId="9" fillId="0" borderId="33" xfId="0" applyFont="1" applyBorder="1" applyAlignment="1">
      <alignment horizontal="left" vertical="top"/>
    </xf>
    <xf numFmtId="2" fontId="9" fillId="0" borderId="33" xfId="0" applyNumberFormat="1" applyFont="1" applyBorder="1" applyAlignment="1">
      <alignment horizontal="left" vertical="top"/>
    </xf>
    <xf numFmtId="0" fontId="13" fillId="18" borderId="0" xfId="0" applyFont="1" applyFill="1" applyAlignment="1">
      <alignment horizontal="left" vertical="top"/>
    </xf>
    <xf numFmtId="0" fontId="20" fillId="10" borderId="0" xfId="0" applyFont="1" applyFill="1" applyAlignment="1">
      <alignment vertical="top"/>
    </xf>
    <xf numFmtId="0" fontId="19" fillId="10" borderId="12" xfId="0" applyFont="1" applyFill="1" applyBorder="1" applyAlignment="1">
      <alignment vertical="center"/>
    </xf>
    <xf numFmtId="0" fontId="19" fillId="10" borderId="13" xfId="0" applyFont="1" applyFill="1" applyBorder="1" applyAlignment="1">
      <alignment vertical="center"/>
    </xf>
    <xf numFmtId="0" fontId="19" fillId="10" borderId="11" xfId="0" applyFont="1" applyFill="1" applyBorder="1" applyAlignment="1">
      <alignment vertical="center"/>
    </xf>
    <xf numFmtId="0" fontId="19" fillId="10" borderId="0" xfId="0" applyFont="1" applyFill="1" applyAlignment="1">
      <alignment vertical="center"/>
    </xf>
    <xf numFmtId="0" fontId="21" fillId="10" borderId="0" xfId="0" applyFont="1" applyFill="1" applyAlignment="1">
      <alignment vertical="center"/>
    </xf>
    <xf numFmtId="0" fontId="8" fillId="10" borderId="0" xfId="0" applyFont="1" applyFill="1" applyAlignment="1">
      <alignment horizontal="left" vertical="top"/>
    </xf>
    <xf numFmtId="0" fontId="30" fillId="7" borderId="0" xfId="0" applyFont="1" applyFill="1" applyAlignment="1">
      <alignment horizontal="center" vertical="center"/>
    </xf>
    <xf numFmtId="0" fontId="30" fillId="7" borderId="0" xfId="0" applyFont="1" applyFill="1" applyAlignment="1">
      <alignment vertical="center"/>
    </xf>
    <xf numFmtId="0" fontId="20" fillId="0" borderId="0" xfId="0" applyFont="1" applyAlignment="1">
      <alignment horizontal="left" vertical="top"/>
    </xf>
    <xf numFmtId="2" fontId="20" fillId="0" borderId="0" xfId="0" applyNumberFormat="1" applyFont="1" applyAlignment="1">
      <alignment horizontal="left" vertical="top"/>
    </xf>
    <xf numFmtId="0" fontId="20" fillId="26" borderId="0" xfId="0" applyFont="1" applyFill="1" applyAlignment="1">
      <alignment horizontal="left" vertical="top"/>
    </xf>
    <xf numFmtId="0" fontId="35" fillId="10" borderId="0" xfId="0" applyFont="1" applyFill="1" applyAlignment="1">
      <alignment horizontal="right" vertical="top"/>
    </xf>
    <xf numFmtId="164" fontId="36" fillId="10" borderId="0" xfId="0" applyNumberFormat="1" applyFont="1" applyFill="1" applyAlignment="1">
      <alignment horizontal="left" vertical="top"/>
    </xf>
    <xf numFmtId="0" fontId="34" fillId="7" borderId="34" xfId="0" applyFont="1" applyFill="1" applyBorder="1" applyAlignment="1">
      <alignment horizontal="center" vertical="top"/>
    </xf>
    <xf numFmtId="0" fontId="20" fillId="8" borderId="34" xfId="0" applyFont="1" applyFill="1" applyBorder="1" applyAlignment="1">
      <alignment horizontal="center" vertical="center"/>
    </xf>
    <xf numFmtId="0" fontId="34" fillId="7" borderId="35" xfId="0" applyFont="1" applyFill="1" applyBorder="1" applyAlignment="1">
      <alignment horizontal="center" vertical="top"/>
    </xf>
    <xf numFmtId="164" fontId="20" fillId="8" borderId="34" xfId="0" applyNumberFormat="1" applyFont="1" applyFill="1" applyBorder="1" applyAlignment="1">
      <alignment horizontal="center" vertical="center"/>
    </xf>
    <xf numFmtId="0" fontId="20" fillId="0" borderId="36" xfId="0" applyFont="1" applyBorder="1" applyAlignment="1">
      <alignment horizontal="left" vertical="top"/>
    </xf>
    <xf numFmtId="0" fontId="33" fillId="0" borderId="37" xfId="0" applyFont="1" applyBorder="1" applyAlignment="1">
      <alignment horizontal="center" vertical="top"/>
    </xf>
    <xf numFmtId="0" fontId="33" fillId="0" borderId="38" xfId="0" applyFont="1" applyBorder="1" applyAlignment="1">
      <alignment horizontal="center" vertical="top"/>
    </xf>
    <xf numFmtId="0" fontId="35" fillId="17" borderId="39" xfId="0" applyFont="1" applyFill="1" applyBorder="1" applyAlignment="1">
      <alignment horizontal="right" vertical="top"/>
    </xf>
    <xf numFmtId="0" fontId="34" fillId="16" borderId="41" xfId="0" applyFont="1" applyFill="1" applyBorder="1" applyAlignment="1">
      <alignment horizontal="right" vertical="top"/>
    </xf>
    <xf numFmtId="0" fontId="20" fillId="0" borderId="44" xfId="0" applyFont="1" applyBorder="1" applyAlignment="1">
      <alignment horizontal="left" vertical="top"/>
    </xf>
    <xf numFmtId="0" fontId="33" fillId="0" borderId="45" xfId="0" applyFont="1" applyBorder="1" applyAlignment="1">
      <alignment horizontal="center" vertical="top"/>
    </xf>
    <xf numFmtId="0" fontId="33" fillId="0" borderId="46" xfId="0" applyFont="1" applyBorder="1" applyAlignment="1">
      <alignment horizontal="center" vertical="top"/>
    </xf>
    <xf numFmtId="0" fontId="34" fillId="7" borderId="47" xfId="0" applyFont="1" applyFill="1" applyBorder="1" applyAlignment="1">
      <alignment horizontal="right" vertical="top"/>
    </xf>
    <xf numFmtId="0" fontId="34" fillId="7" borderId="48" xfId="0" applyFont="1" applyFill="1" applyBorder="1" applyAlignment="1">
      <alignment horizontal="center" vertical="top"/>
    </xf>
    <xf numFmtId="0" fontId="19" fillId="6" borderId="49" xfId="0" applyFont="1" applyFill="1" applyBorder="1" applyAlignment="1">
      <alignment horizontal="right" vertical="center"/>
    </xf>
    <xf numFmtId="0" fontId="34" fillId="7" borderId="41" xfId="0" applyFont="1" applyFill="1" applyBorder="1" applyAlignment="1">
      <alignment horizontal="right" vertical="top"/>
    </xf>
    <xf numFmtId="164" fontId="37" fillId="7" borderId="42" xfId="0" applyNumberFormat="1" applyFont="1" applyFill="1" applyBorder="1" applyAlignment="1">
      <alignment horizontal="center" vertical="top"/>
    </xf>
    <xf numFmtId="164" fontId="37" fillId="7" borderId="43" xfId="0" applyNumberFormat="1" applyFont="1" applyFill="1" applyBorder="1" applyAlignment="1">
      <alignment horizontal="center" vertical="top"/>
    </xf>
    <xf numFmtId="0" fontId="34" fillId="16" borderId="50" xfId="0" applyFont="1" applyFill="1" applyBorder="1" applyAlignment="1">
      <alignment horizontal="right" vertical="top"/>
    </xf>
    <xf numFmtId="0" fontId="34" fillId="16" borderId="34" xfId="0" applyFont="1" applyFill="1" applyBorder="1" applyAlignment="1">
      <alignment horizontal="center" vertical="top"/>
    </xf>
    <xf numFmtId="0" fontId="34" fillId="16" borderId="49" xfId="0" applyFont="1" applyFill="1" applyBorder="1" applyAlignment="1">
      <alignment horizontal="right" vertical="top"/>
    </xf>
    <xf numFmtId="0" fontId="20" fillId="17" borderId="49" xfId="0" applyFont="1" applyFill="1" applyBorder="1" applyAlignment="1">
      <alignment horizontal="right" vertical="top"/>
    </xf>
    <xf numFmtId="164" fontId="37" fillId="16" borderId="42" xfId="0" applyNumberFormat="1" applyFont="1" applyFill="1" applyBorder="1" applyAlignment="1">
      <alignment horizontal="center" vertical="top"/>
    </xf>
    <xf numFmtId="164" fontId="37" fillId="16" borderId="43" xfId="0" applyNumberFormat="1" applyFont="1" applyFill="1" applyBorder="1" applyAlignment="1">
      <alignment horizontal="center" vertical="top"/>
    </xf>
    <xf numFmtId="0" fontId="34" fillId="7" borderId="49" xfId="0" applyFont="1" applyFill="1" applyBorder="1" applyAlignment="1">
      <alignment horizontal="right" vertical="top"/>
    </xf>
    <xf numFmtId="0" fontId="20" fillId="6" borderId="49" xfId="0" applyFont="1" applyFill="1" applyBorder="1" applyAlignment="1">
      <alignment horizontal="right" vertical="center"/>
    </xf>
    <xf numFmtId="0" fontId="20" fillId="8" borderId="40" xfId="0" applyFont="1" applyFill="1" applyBorder="1" applyAlignment="1">
      <alignment horizontal="center" vertical="center"/>
    </xf>
    <xf numFmtId="0" fontId="19" fillId="17" borderId="49" xfId="0" applyFont="1" applyFill="1" applyBorder="1" applyAlignment="1">
      <alignment horizontal="right" vertical="top"/>
    </xf>
    <xf numFmtId="164" fontId="37" fillId="7" borderId="42" xfId="0" applyNumberFormat="1" applyFont="1" applyFill="1" applyBorder="1" applyAlignment="1">
      <alignment horizontal="center" vertical="center"/>
    </xf>
    <xf numFmtId="164" fontId="37" fillId="7" borderId="43" xfId="0" applyNumberFormat="1" applyFont="1" applyFill="1" applyBorder="1" applyAlignment="1">
      <alignment horizontal="center" vertical="center"/>
    </xf>
    <xf numFmtId="0" fontId="34" fillId="16" borderId="40" xfId="0" applyFont="1" applyFill="1" applyBorder="1" applyAlignment="1">
      <alignment horizontal="center" vertical="top"/>
    </xf>
    <xf numFmtId="0" fontId="20" fillId="4" borderId="34" xfId="0" applyFont="1" applyFill="1" applyBorder="1" applyAlignment="1">
      <alignment horizontal="center" vertical="center"/>
    </xf>
    <xf numFmtId="0" fontId="20" fillId="4" borderId="40" xfId="0" applyFont="1" applyFill="1" applyBorder="1" applyAlignment="1">
      <alignment horizontal="center" vertical="center"/>
    </xf>
    <xf numFmtId="0" fontId="34" fillId="7" borderId="40" xfId="0" applyFont="1" applyFill="1" applyBorder="1" applyAlignment="1">
      <alignment horizontal="center" vertical="top"/>
    </xf>
    <xf numFmtId="164" fontId="20" fillId="4" borderId="34" xfId="0" applyNumberFormat="1" applyFont="1" applyFill="1" applyBorder="1" applyAlignment="1">
      <alignment horizontal="center" vertical="center"/>
    </xf>
    <xf numFmtId="164" fontId="20" fillId="4" borderId="40" xfId="0" applyNumberFormat="1" applyFont="1" applyFill="1" applyBorder="1" applyAlignment="1">
      <alignment horizontal="center" vertical="center"/>
    </xf>
    <xf numFmtId="0" fontId="21" fillId="26" borderId="0" xfId="0" applyFont="1" applyFill="1" applyAlignment="1">
      <alignment horizontal="left" vertical="center"/>
    </xf>
    <xf numFmtId="0" fontId="26" fillId="5" borderId="0" xfId="0" applyFont="1" applyFill="1" applyAlignment="1">
      <alignment vertical="center"/>
    </xf>
    <xf numFmtId="164" fontId="27" fillId="5" borderId="0" xfId="0" applyNumberFormat="1" applyFont="1" applyFill="1" applyAlignment="1">
      <alignment horizontal="left" vertical="center"/>
    </xf>
    <xf numFmtId="0" fontId="39" fillId="6" borderId="0" xfId="0" applyFont="1" applyFill="1" applyAlignment="1">
      <alignment horizontal="right" vertical="center"/>
    </xf>
    <xf numFmtId="0" fontId="39" fillId="8" borderId="0" xfId="0" applyFont="1" applyFill="1" applyAlignment="1">
      <alignment vertical="center"/>
    </xf>
    <xf numFmtId="0" fontId="39" fillId="8" borderId="0" xfId="0" applyFont="1" applyFill="1" applyAlignment="1">
      <alignment horizontal="right" vertical="center"/>
    </xf>
    <xf numFmtId="0" fontId="31" fillId="7" borderId="0" xfId="0" applyFont="1" applyFill="1" applyAlignment="1">
      <alignment horizontal="left" vertical="center"/>
    </xf>
    <xf numFmtId="0" fontId="39" fillId="6" borderId="0" xfId="0" applyFont="1" applyFill="1" applyAlignment="1">
      <alignment vertical="center"/>
    </xf>
    <xf numFmtId="0" fontId="39" fillId="6" borderId="0" xfId="0" applyFont="1" applyFill="1" applyAlignment="1">
      <alignment horizontal="center" vertical="center"/>
    </xf>
    <xf numFmtId="0" fontId="39" fillId="6" borderId="0" xfId="0" applyFont="1" applyFill="1" applyAlignment="1">
      <alignment horizontal="left" vertical="center"/>
    </xf>
    <xf numFmtId="0" fontId="32" fillId="8" borderId="0" xfId="0" applyFont="1" applyFill="1" applyAlignment="1">
      <alignment horizontal="right" vertical="center"/>
    </xf>
    <xf numFmtId="0" fontId="32" fillId="8" borderId="0" xfId="0" applyFont="1" applyFill="1" applyAlignment="1">
      <alignment vertical="center"/>
    </xf>
    <xf numFmtId="0" fontId="32" fillId="8" borderId="0" xfId="0" applyFont="1" applyFill="1" applyAlignment="1">
      <alignment horizontal="left" vertical="center"/>
    </xf>
    <xf numFmtId="0" fontId="32" fillId="8" borderId="0" xfId="0" applyFont="1" applyFill="1" applyAlignment="1">
      <alignment horizontal="center" vertical="center"/>
    </xf>
    <xf numFmtId="0" fontId="20" fillId="10" borderId="34" xfId="0" applyFont="1" applyFill="1" applyBorder="1" applyAlignment="1">
      <alignment vertical="center"/>
    </xf>
    <xf numFmtId="0" fontId="20" fillId="10" borderId="34" xfId="0" applyFont="1" applyFill="1" applyBorder="1" applyAlignment="1">
      <alignment vertical="top"/>
    </xf>
    <xf numFmtId="0" fontId="20" fillId="8" borderId="34" xfId="0" applyFont="1" applyFill="1" applyBorder="1" applyAlignment="1">
      <alignment horizontal="center" vertical="top"/>
    </xf>
    <xf numFmtId="0" fontId="20" fillId="4" borderId="34" xfId="0" applyFont="1" applyFill="1" applyBorder="1" applyAlignment="1">
      <alignment horizontal="center" vertical="top"/>
    </xf>
    <xf numFmtId="0" fontId="33" fillId="10" borderId="0" xfId="0" applyFont="1" applyFill="1" applyAlignment="1">
      <alignment horizontal="left" vertical="center"/>
    </xf>
    <xf numFmtId="164" fontId="37" fillId="16" borderId="51" xfId="0" applyNumberFormat="1" applyFont="1" applyFill="1" applyBorder="1" applyAlignment="1">
      <alignment horizontal="center" vertical="top"/>
    </xf>
    <xf numFmtId="164" fontId="37" fillId="16" borderId="52" xfId="0" applyNumberFormat="1" applyFont="1" applyFill="1" applyBorder="1" applyAlignment="1">
      <alignment horizontal="center" vertical="top"/>
    </xf>
    <xf numFmtId="0" fontId="28" fillId="10" borderId="0" xfId="0" applyFont="1" applyFill="1" applyAlignment="1">
      <alignment horizontal="right" vertical="center"/>
    </xf>
    <xf numFmtId="164" fontId="40" fillId="10" borderId="0" xfId="0" applyNumberFormat="1" applyFont="1" applyFill="1" applyAlignment="1">
      <alignment horizontal="left" vertical="center"/>
    </xf>
    <xf numFmtId="0" fontId="21" fillId="20" borderId="0" xfId="0" applyFont="1" applyFill="1" applyAlignment="1">
      <alignment horizontal="left" vertical="center"/>
    </xf>
    <xf numFmtId="0" fontId="20" fillId="20" borderId="0" xfId="0" applyFont="1" applyFill="1" applyAlignment="1">
      <alignment horizontal="left" vertical="center"/>
    </xf>
    <xf numFmtId="0" fontId="20" fillId="20" borderId="0" xfId="0" applyFont="1" applyFill="1" applyAlignment="1">
      <alignment vertical="center"/>
    </xf>
    <xf numFmtId="0" fontId="2" fillId="3" borderId="2" xfId="0" applyFont="1" applyFill="1" applyBorder="1" applyAlignment="1">
      <alignment horizontal="left" vertical="top" wrapText="1"/>
    </xf>
    <xf numFmtId="0" fontId="2" fillId="3" borderId="3" xfId="0" applyFont="1" applyFill="1" applyBorder="1" applyAlignment="1">
      <alignment horizontal="left" vertical="top" wrapText="1"/>
    </xf>
    <xf numFmtId="0" fontId="2" fillId="3" borderId="4" xfId="0" applyFont="1" applyFill="1" applyBorder="1" applyAlignment="1">
      <alignment horizontal="left" vertical="top" wrapText="1"/>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0" fillId="0" borderId="4" xfId="0" applyBorder="1" applyAlignment="1">
      <alignment horizontal="center" vertical="center" wrapText="1"/>
    </xf>
    <xf numFmtId="0" fontId="0" fillId="3" borderId="2" xfId="0" applyFill="1" applyBorder="1" applyAlignment="1">
      <alignment horizontal="left" vertical="top" wrapText="1"/>
    </xf>
    <xf numFmtId="0" fontId="0" fillId="3" borderId="3" xfId="0" applyFill="1" applyBorder="1" applyAlignment="1">
      <alignment horizontal="left" vertical="top" wrapText="1"/>
    </xf>
    <xf numFmtId="0" fontId="0" fillId="3" borderId="4" xfId="0" applyFill="1" applyBorder="1" applyAlignment="1">
      <alignment horizontal="left" vertical="top" wrapText="1"/>
    </xf>
    <xf numFmtId="0" fontId="0" fillId="0" borderId="0" xfId="0" applyAlignment="1">
      <alignment horizontal="left" vertical="top" wrapText="1" indent="1"/>
    </xf>
    <xf numFmtId="0" fontId="4" fillId="3" borderId="2" xfId="0" applyFont="1" applyFill="1" applyBorder="1" applyAlignment="1">
      <alignment horizontal="left" vertical="top" wrapText="1"/>
    </xf>
    <xf numFmtId="0" fontId="15" fillId="4" borderId="0" xfId="0" applyFont="1" applyFill="1" applyAlignment="1">
      <alignment horizontal="left" vertical="top"/>
    </xf>
    <xf numFmtId="0" fontId="21" fillId="21" borderId="0" xfId="0" applyFont="1" applyFill="1" applyAlignment="1">
      <alignment horizontal="left" vertical="center"/>
    </xf>
    <xf numFmtId="0" fontId="19" fillId="21" borderId="0" xfId="0" applyFont="1" applyFill="1" applyAlignment="1">
      <alignment horizontal="left" vertical="center"/>
    </xf>
    <xf numFmtId="0" fontId="20" fillId="21" borderId="0" xfId="0" applyFont="1" applyFill="1" applyAlignment="1">
      <alignment horizontal="left" vertical="center"/>
    </xf>
    <xf numFmtId="0" fontId="30" fillId="7" borderId="0" xfId="0" applyFont="1" applyFill="1" applyAlignment="1">
      <alignment horizontal="center" vertical="center"/>
    </xf>
    <xf numFmtId="0" fontId="32" fillId="8" borderId="0" xfId="0" applyFont="1" applyFill="1" applyAlignment="1">
      <alignment vertical="center"/>
    </xf>
    <xf numFmtId="0" fontId="32" fillId="8" borderId="10" xfId="0" applyFont="1" applyFill="1" applyBorder="1" applyAlignment="1">
      <alignment vertical="center"/>
    </xf>
    <xf numFmtId="0" fontId="39" fillId="8" borderId="0" xfId="0" applyFont="1" applyFill="1" applyAlignment="1">
      <alignment vertical="center"/>
    </xf>
    <xf numFmtId="0" fontId="39" fillId="8" borderId="10" xfId="0" applyFont="1" applyFill="1" applyBorder="1" applyAlignment="1">
      <alignment vertical="center"/>
    </xf>
    <xf numFmtId="0" fontId="32" fillId="8" borderId="0" xfId="0" applyFont="1" applyFill="1" applyAlignment="1">
      <alignment horizontal="right" vertical="center"/>
    </xf>
    <xf numFmtId="0" fontId="38" fillId="9" borderId="0" xfId="0" applyFont="1" applyFill="1" applyAlignment="1">
      <alignment horizontal="center" vertical="center"/>
    </xf>
    <xf numFmtId="0" fontId="39" fillId="6" borderId="0" xfId="0" applyFont="1" applyFill="1" applyAlignment="1">
      <alignment horizontal="right" vertical="center"/>
    </xf>
    <xf numFmtId="0" fontId="32" fillId="8" borderId="0" xfId="0" applyFont="1" applyFill="1" applyAlignment="1">
      <alignment horizontal="left" vertical="center"/>
    </xf>
    <xf numFmtId="0" fontId="25" fillId="5" borderId="0" xfId="0" applyFont="1" applyFill="1" applyAlignment="1">
      <alignment horizontal="center" vertical="center"/>
    </xf>
    <xf numFmtId="0" fontId="29" fillId="20" borderId="0" xfId="0" applyFont="1" applyFill="1" applyAlignment="1">
      <alignment horizontal="center" vertical="center"/>
    </xf>
    <xf numFmtId="0" fontId="20" fillId="20" borderId="0" xfId="0" applyFont="1" applyFill="1" applyAlignment="1">
      <alignment horizontal="left" vertical="center"/>
    </xf>
    <xf numFmtId="0" fontId="35" fillId="9" borderId="0" xfId="0" applyFont="1" applyFill="1" applyAlignment="1">
      <alignment horizontal="center" vertical="top"/>
    </xf>
    <xf numFmtId="164" fontId="36" fillId="4" borderId="34" xfId="0" applyNumberFormat="1" applyFont="1" applyFill="1" applyBorder="1" applyAlignment="1">
      <alignment horizontal="center" vertical="center"/>
    </xf>
    <xf numFmtId="0" fontId="17" fillId="6" borderId="0" xfId="0" applyFont="1" applyFill="1" applyAlignment="1">
      <alignment horizontal="center" vertical="center"/>
    </xf>
    <xf numFmtId="0" fontId="17" fillId="11" borderId="0" xfId="0" applyFont="1" applyFill="1" applyAlignment="1">
      <alignment horizontal="center" vertical="center"/>
    </xf>
  </cellXfs>
  <cellStyles count="1">
    <cellStyle name="Normal" xfId="0" builtinId="0"/>
  </cellStyles>
  <dxfs count="229">
    <dxf>
      <font>
        <b val="0"/>
        <i val="0"/>
        <strike val="0"/>
        <condense val="0"/>
        <extend val="0"/>
        <outline val="0"/>
        <shadow val="0"/>
        <u val="none"/>
        <vertAlign val="baseline"/>
        <sz val="12"/>
        <color rgb="FF000000"/>
        <name val="Calibri"/>
        <family val="2"/>
        <scheme val="minor"/>
      </font>
      <fill>
        <patternFill patternType="solid">
          <fgColor indexed="64"/>
          <bgColor theme="3" tint="0.79998168889431442"/>
        </patternFill>
      </fill>
      <alignment horizontal="center"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fill>
        <patternFill patternType="solid">
          <fgColor indexed="64"/>
          <bgColor theme="3" tint="0.79998168889431442"/>
        </patternFill>
      </fill>
      <alignment horizontal="center"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fill>
        <patternFill patternType="solid">
          <fgColor indexed="64"/>
          <bgColor theme="3" tint="0.79998168889431442"/>
        </patternFill>
      </fill>
      <alignment horizontal="center"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fill>
        <patternFill patternType="solid">
          <fgColor indexed="64"/>
          <bgColor theme="3" tint="0.79998168889431442"/>
        </patternFill>
      </fill>
      <alignment horizontal="center"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fill>
        <patternFill patternType="solid">
          <fgColor indexed="64"/>
          <bgColor theme="3" tint="0.79998168889431442"/>
        </patternFill>
      </fill>
      <alignment horizontal="center"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fill>
        <patternFill patternType="solid">
          <fgColor indexed="64"/>
          <bgColor theme="3" tint="0.79998168889431442"/>
        </patternFill>
      </fill>
      <alignment horizontal="center" vertical="top" textRotation="0" wrapText="0" indent="0" justifyLastLine="0" shrinkToFit="0" readingOrder="0"/>
    </dxf>
    <dxf>
      <font>
        <b/>
        <i val="0"/>
        <strike val="0"/>
        <condense val="0"/>
        <extend val="0"/>
        <outline val="0"/>
        <shadow val="0"/>
        <u val="none"/>
        <vertAlign val="baseline"/>
        <sz val="12"/>
        <color theme="0"/>
        <name val="Calibri"/>
        <family val="2"/>
        <scheme val="minor"/>
      </font>
      <fill>
        <patternFill patternType="solid">
          <fgColor indexed="64"/>
          <bgColor theme="3" tint="0.39997558519241921"/>
        </patternFill>
      </fill>
      <alignment horizontal="center" vertical="top" textRotation="0" wrapText="0" indent="0" justifyLastLine="0" shrinkToFit="0" readingOrder="0"/>
    </dxf>
    <dxf>
      <border outline="0">
        <left style="thin">
          <color theme="7" tint="0.39997558519241921"/>
        </left>
        <right style="thin">
          <color theme="7" tint="0.39997558519241921"/>
        </right>
        <top style="thin">
          <color theme="7" tint="0.39997558519241921"/>
        </top>
        <bottom style="thin">
          <color theme="7" tint="0.39997558519241921"/>
        </bottom>
      </border>
    </dxf>
    <dxf>
      <font>
        <b/>
        <i val="0"/>
        <strike val="0"/>
        <condense val="0"/>
        <extend val="0"/>
        <outline val="0"/>
        <shadow val="0"/>
        <u val="none"/>
        <vertAlign val="baseline"/>
        <sz val="12"/>
        <color theme="0"/>
        <name val="Calibri"/>
        <family val="2"/>
        <scheme val="minor"/>
      </font>
      <fill>
        <patternFill patternType="solid">
          <fgColor theme="7"/>
          <bgColor theme="7"/>
        </patternFill>
      </fill>
      <alignment horizontal="left" vertical="top" textRotation="0" wrapText="0" indent="0" justifyLastLine="0" shrinkToFit="0" readingOrder="0"/>
    </dxf>
    <dxf>
      <border outline="0">
        <left style="thin">
          <color theme="7" tint="0.39997558519241921"/>
        </left>
        <right style="thin">
          <color theme="7" tint="0.39997558519241921"/>
        </right>
        <top style="thin">
          <color theme="7" tint="0.39997558519241921"/>
        </top>
        <bottom style="thin">
          <color theme="7" tint="0.39997558519241921"/>
        </bottom>
      </border>
    </dxf>
    <dxf>
      <font>
        <b/>
        <i val="0"/>
        <strike val="0"/>
        <condense val="0"/>
        <extend val="0"/>
        <outline val="0"/>
        <shadow val="0"/>
        <u val="none"/>
        <vertAlign val="baseline"/>
        <sz val="12"/>
        <color theme="0"/>
        <name val="Calibri"/>
        <family val="2"/>
        <scheme val="minor"/>
      </font>
      <fill>
        <patternFill patternType="solid">
          <fgColor theme="7"/>
          <bgColor theme="7"/>
        </patternFill>
      </fill>
      <alignment horizontal="left" vertical="top"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left" vertical="top" textRotation="0" wrapText="0" indent="0" justifyLastLine="0" shrinkToFit="0" readingOrder="0"/>
      <border diagonalUp="0" diagonalDown="0">
        <left/>
        <right/>
        <top style="thin">
          <color theme="7" tint="0.39997558519241921"/>
        </top>
        <bottom/>
        <vertical/>
        <horizontal/>
      </border>
    </dxf>
    <dxf>
      <font>
        <b val="0"/>
        <i val="0"/>
        <strike val="0"/>
        <condense val="0"/>
        <extend val="0"/>
        <outline val="0"/>
        <shadow val="0"/>
        <u val="none"/>
        <vertAlign val="baseline"/>
        <sz val="12"/>
        <color theme="1"/>
        <name val="Calibri"/>
        <family val="2"/>
        <scheme val="minor"/>
      </font>
      <alignment horizontal="left" vertical="top" textRotation="0" wrapText="0" indent="0" justifyLastLine="0" shrinkToFit="0" readingOrder="0"/>
      <border diagonalUp="0" diagonalDown="0">
        <left/>
        <right/>
        <top style="thin">
          <color theme="7" tint="0.39997558519241921"/>
        </top>
        <bottom/>
        <vertical/>
        <horizontal/>
      </border>
    </dxf>
    <dxf>
      <border outline="0">
        <left style="thin">
          <color theme="7" tint="0.39997558519241921"/>
        </left>
        <right style="thin">
          <color theme="7" tint="0.39997558519241921"/>
        </right>
        <top style="thin">
          <color theme="7" tint="0.39997558519241921"/>
        </top>
        <bottom style="thin">
          <color theme="7" tint="0.39997558519241921"/>
        </bottom>
      </border>
    </dxf>
    <dxf>
      <font>
        <b val="0"/>
        <i val="0"/>
        <strike val="0"/>
        <condense val="0"/>
        <extend val="0"/>
        <outline val="0"/>
        <shadow val="0"/>
        <u val="none"/>
        <vertAlign val="baseline"/>
        <sz val="12"/>
        <color theme="1"/>
        <name val="Calibri"/>
        <family val="2"/>
        <scheme val="minor"/>
      </font>
      <alignment horizontal="left" vertical="top" textRotation="0" wrapText="0" indent="0" justifyLastLine="0" shrinkToFit="0" readingOrder="0"/>
    </dxf>
    <dxf>
      <font>
        <b/>
        <i val="0"/>
        <strike val="0"/>
        <condense val="0"/>
        <extend val="0"/>
        <outline val="0"/>
        <shadow val="0"/>
        <u val="none"/>
        <vertAlign val="baseline"/>
        <sz val="12"/>
        <color theme="0"/>
        <name val="Calibri"/>
        <family val="2"/>
        <scheme val="minor"/>
      </font>
      <fill>
        <patternFill patternType="solid">
          <fgColor theme="7"/>
          <bgColor theme="7"/>
        </patternFill>
      </fill>
      <alignment horizontal="left" vertical="top"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left" vertical="top" textRotation="0" wrapText="0" indent="0" justifyLastLine="0" shrinkToFit="0" readingOrder="0"/>
      <border diagonalUp="0" diagonalDown="0">
        <left/>
        <right/>
        <top style="thin">
          <color theme="7" tint="0.39997558519241921"/>
        </top>
        <bottom/>
        <vertical/>
        <horizontal/>
      </border>
    </dxf>
    <dxf>
      <font>
        <b val="0"/>
        <i val="0"/>
        <strike val="0"/>
        <condense val="0"/>
        <extend val="0"/>
        <outline val="0"/>
        <shadow val="0"/>
        <u val="none"/>
        <vertAlign val="baseline"/>
        <sz val="12"/>
        <color theme="1"/>
        <name val="Calibri"/>
        <family val="2"/>
        <scheme val="minor"/>
      </font>
      <alignment horizontal="left" vertical="top" textRotation="0" wrapText="0" indent="0" justifyLastLine="0" shrinkToFit="0" readingOrder="0"/>
      <border diagonalUp="0" diagonalDown="0">
        <left/>
        <right/>
        <top style="thin">
          <color theme="7" tint="0.39997558519241921"/>
        </top>
        <bottom/>
        <vertical/>
        <horizontal/>
      </border>
    </dxf>
    <dxf>
      <border outline="0">
        <left style="thin">
          <color theme="7" tint="0.39997558519241921"/>
        </left>
        <right style="thin">
          <color theme="7" tint="0.39997558519241921"/>
        </right>
        <top style="thin">
          <color theme="7" tint="0.39997558519241921"/>
        </top>
        <bottom style="thin">
          <color theme="7" tint="0.39997558519241921"/>
        </bottom>
      </border>
    </dxf>
    <dxf>
      <font>
        <b val="0"/>
        <i val="0"/>
        <strike val="0"/>
        <condense val="0"/>
        <extend val="0"/>
        <outline val="0"/>
        <shadow val="0"/>
        <u val="none"/>
        <vertAlign val="baseline"/>
        <sz val="12"/>
        <color theme="1"/>
        <name val="Calibri"/>
        <family val="2"/>
        <scheme val="minor"/>
      </font>
      <alignment horizontal="left" vertical="top" textRotation="0" wrapText="0" indent="0" justifyLastLine="0" shrinkToFit="0" readingOrder="0"/>
    </dxf>
    <dxf>
      <font>
        <b/>
        <i val="0"/>
        <strike val="0"/>
        <condense val="0"/>
        <extend val="0"/>
        <outline val="0"/>
        <shadow val="0"/>
        <u val="none"/>
        <vertAlign val="baseline"/>
        <sz val="12"/>
        <color theme="0"/>
        <name val="Calibri"/>
        <family val="2"/>
        <scheme val="minor"/>
      </font>
      <fill>
        <patternFill patternType="solid">
          <fgColor theme="7"/>
          <bgColor theme="7"/>
        </patternFill>
      </fill>
      <alignment horizontal="left" vertical="top" textRotation="0" wrapText="0" indent="0" justifyLastLine="0" shrinkToFit="0" readingOrder="0"/>
    </dxf>
    <dxf>
      <font>
        <b val="0"/>
        <i val="0"/>
        <strike val="0"/>
        <condense val="0"/>
        <extend val="0"/>
        <outline val="0"/>
        <shadow val="0"/>
        <u val="none"/>
        <vertAlign val="baseline"/>
        <sz val="12"/>
        <color theme="1"/>
        <name val="Calibri"/>
        <family val="2"/>
        <scheme val="minor"/>
      </font>
      <fill>
        <patternFill patternType="solid">
          <fgColor theme="7" tint="0.79998168889431442"/>
          <bgColor theme="7" tint="0.79998168889431442"/>
        </patternFill>
      </fill>
      <alignment horizontal="left" vertical="top" textRotation="0" wrapText="0" indent="0" justifyLastLine="0" shrinkToFit="0" readingOrder="0"/>
      <border diagonalUp="0" diagonalDown="0">
        <left/>
        <right/>
        <top style="thin">
          <color theme="7" tint="0.39997558519241921"/>
        </top>
        <bottom/>
        <vertical/>
        <horizontal/>
      </border>
    </dxf>
    <dxf>
      <font>
        <b val="0"/>
        <i val="0"/>
        <strike val="0"/>
        <condense val="0"/>
        <extend val="0"/>
        <outline val="0"/>
        <shadow val="0"/>
        <u val="none"/>
        <vertAlign val="baseline"/>
        <sz val="12"/>
        <color theme="1"/>
        <name val="Calibri"/>
        <family val="2"/>
        <scheme val="minor"/>
      </font>
      <fill>
        <patternFill patternType="solid">
          <fgColor theme="7" tint="0.79998168889431442"/>
          <bgColor theme="7" tint="0.79998168889431442"/>
        </patternFill>
      </fill>
      <alignment horizontal="left" vertical="top" textRotation="0" wrapText="0" indent="0" justifyLastLine="0" shrinkToFit="0" readingOrder="0"/>
      <border diagonalUp="0" diagonalDown="0">
        <left/>
        <right/>
        <top style="thin">
          <color theme="7" tint="0.39997558519241921"/>
        </top>
        <bottom/>
        <vertical/>
        <horizontal/>
      </border>
    </dxf>
    <dxf>
      <font>
        <b val="0"/>
        <i val="0"/>
        <strike val="0"/>
        <condense val="0"/>
        <extend val="0"/>
        <outline val="0"/>
        <shadow val="0"/>
        <u val="none"/>
        <vertAlign val="baseline"/>
        <sz val="12"/>
        <color theme="1"/>
        <name val="Calibri"/>
        <family val="2"/>
        <scheme val="minor"/>
      </font>
      <fill>
        <patternFill patternType="solid">
          <fgColor theme="7" tint="0.79998168889431442"/>
          <bgColor theme="7" tint="0.79998168889431442"/>
        </patternFill>
      </fill>
      <alignment horizontal="left" vertical="top" textRotation="0" wrapText="0" indent="0" justifyLastLine="0" shrinkToFit="0" readingOrder="0"/>
      <border diagonalUp="0" diagonalDown="0">
        <left/>
        <right/>
        <top style="thin">
          <color theme="7" tint="0.39997558519241921"/>
        </top>
        <bottom/>
        <vertical/>
        <horizontal/>
      </border>
    </dxf>
    <dxf>
      <border outline="0">
        <left style="thin">
          <color theme="7" tint="0.39997558519241921"/>
        </left>
        <right style="thin">
          <color theme="7" tint="0.39997558519241921"/>
        </right>
        <top style="thin">
          <color theme="7" tint="0.39997558519241921"/>
        </top>
        <bottom style="thin">
          <color theme="7" tint="0.39997558519241921"/>
        </bottom>
      </border>
    </dxf>
    <dxf>
      <font>
        <b val="0"/>
        <i val="0"/>
        <strike val="0"/>
        <condense val="0"/>
        <extend val="0"/>
        <outline val="0"/>
        <shadow val="0"/>
        <u val="none"/>
        <vertAlign val="baseline"/>
        <sz val="12"/>
        <color theme="1"/>
        <name val="Calibri"/>
        <family val="2"/>
        <scheme val="minor"/>
      </font>
      <fill>
        <patternFill patternType="solid">
          <fgColor theme="7" tint="0.79998168889431442"/>
          <bgColor theme="7" tint="0.79998168889431442"/>
        </patternFill>
      </fill>
      <alignment horizontal="left" vertical="top" textRotation="0" wrapText="0" indent="0" justifyLastLine="0" shrinkToFit="0" readingOrder="0"/>
    </dxf>
    <dxf>
      <font>
        <b/>
        <i val="0"/>
        <strike val="0"/>
        <condense val="0"/>
        <extend val="0"/>
        <outline val="0"/>
        <shadow val="0"/>
        <u val="none"/>
        <vertAlign val="baseline"/>
        <sz val="12"/>
        <color theme="0"/>
        <name val="Calibri"/>
        <family val="2"/>
        <scheme val="minor"/>
      </font>
      <fill>
        <patternFill patternType="solid">
          <fgColor theme="7"/>
          <bgColor theme="7"/>
        </patternFill>
      </fill>
      <alignment horizontal="left" vertical="top" textRotation="0" wrapText="0" indent="0" justifyLastLine="0" shrinkToFit="0" readingOrder="0"/>
    </dxf>
    <dxf>
      <font>
        <b val="0"/>
        <i val="0"/>
        <strike val="0"/>
        <condense val="0"/>
        <extend val="0"/>
        <outline val="0"/>
        <shadow val="0"/>
        <u val="none"/>
        <vertAlign val="baseline"/>
        <sz val="16"/>
        <color rgb="FF000000"/>
        <name val="Calibri"/>
        <family val="2"/>
        <scheme val="minor"/>
      </font>
      <numFmt numFmtId="2" formatCode="0.00"/>
      <alignment horizontal="left" vertical="top" textRotation="0" wrapText="0" indent="0" justifyLastLine="0" shrinkToFit="0" readingOrder="0"/>
    </dxf>
    <dxf>
      <font>
        <b val="0"/>
        <i val="0"/>
        <strike val="0"/>
        <condense val="0"/>
        <extend val="0"/>
        <outline val="0"/>
        <shadow val="0"/>
        <u val="none"/>
        <vertAlign val="baseline"/>
        <sz val="16"/>
        <color rgb="FF000000"/>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6"/>
        <color rgb="FF000000"/>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6"/>
        <color rgb="FF000000"/>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2" formatCode="0.00"/>
      <alignment horizontal="left" vertical="top" textRotation="0" wrapText="0" indent="0" justifyLastLine="0" shrinkToFit="0" readingOrder="0"/>
      <border diagonalUp="0" diagonalDown="0">
        <left/>
        <right/>
        <top style="thin">
          <color theme="6" tint="0.39997558519241921"/>
        </top>
        <bottom style="thin">
          <color theme="6" tint="0.39997558519241921"/>
        </bottom>
        <vertical/>
        <horizontal/>
      </border>
    </dxf>
    <dxf>
      <font>
        <b val="0"/>
        <i val="0"/>
        <strike val="0"/>
        <condense val="0"/>
        <extend val="0"/>
        <outline val="0"/>
        <shadow val="0"/>
        <u val="none"/>
        <vertAlign val="baseline"/>
        <sz val="12"/>
        <color theme="1"/>
        <name val="Calibri"/>
        <family val="2"/>
        <scheme val="minor"/>
      </font>
      <numFmt numFmtId="2" formatCode="0.00"/>
      <alignment horizontal="left" vertical="top" textRotation="0" wrapText="0" indent="0" justifyLastLine="0" shrinkToFit="0" readingOrder="0"/>
      <border diagonalUp="0" diagonalDown="0">
        <left/>
        <right/>
        <top style="thin">
          <color theme="6" tint="0.39997558519241921"/>
        </top>
        <bottom style="thin">
          <color theme="6" tint="0.39997558519241921"/>
        </bottom>
        <vertical/>
        <horizontal/>
      </border>
    </dxf>
    <dxf>
      <font>
        <b val="0"/>
        <i val="0"/>
        <strike val="0"/>
        <condense val="0"/>
        <extend val="0"/>
        <outline val="0"/>
        <shadow val="0"/>
        <u val="none"/>
        <vertAlign val="baseline"/>
        <sz val="12"/>
        <color theme="1"/>
        <name val="Calibri"/>
        <family val="2"/>
        <scheme val="minor"/>
      </font>
      <numFmt numFmtId="2" formatCode="0.00"/>
      <alignment horizontal="left" vertical="top" textRotation="0" wrapText="0" indent="0" justifyLastLine="0" shrinkToFit="0" readingOrder="0"/>
      <border diagonalUp="0" diagonalDown="0">
        <left/>
        <right/>
        <top style="thin">
          <color theme="6" tint="0.39997558519241921"/>
        </top>
        <bottom style="thin">
          <color theme="6" tint="0.39997558519241921"/>
        </bottom>
        <vertical/>
        <horizontal/>
      </border>
    </dxf>
    <dxf>
      <font>
        <b val="0"/>
        <i val="0"/>
        <strike val="0"/>
        <condense val="0"/>
        <extend val="0"/>
        <outline val="0"/>
        <shadow val="0"/>
        <u val="none"/>
        <vertAlign val="baseline"/>
        <sz val="12"/>
        <color theme="1"/>
        <name val="Calibri"/>
        <family val="2"/>
        <scheme val="minor"/>
      </font>
      <numFmt numFmtId="2" formatCode="0.00"/>
      <alignment horizontal="left" vertical="top" textRotation="0" wrapText="0" indent="0" justifyLastLine="0" shrinkToFit="0" readingOrder="0"/>
      <border diagonalUp="0" diagonalDown="0">
        <left/>
        <right/>
        <top style="thin">
          <color theme="6" tint="0.39997558519241921"/>
        </top>
        <bottom style="thin">
          <color theme="6" tint="0.39997558519241921"/>
        </bottom>
        <vertical/>
        <horizontal/>
      </border>
    </dxf>
    <dxf>
      <font>
        <b val="0"/>
        <i val="0"/>
        <strike val="0"/>
        <condense val="0"/>
        <extend val="0"/>
        <outline val="0"/>
        <shadow val="0"/>
        <u val="none"/>
        <vertAlign val="baseline"/>
        <sz val="12"/>
        <color theme="1"/>
        <name val="Calibri"/>
        <family val="2"/>
        <scheme val="minor"/>
      </font>
      <numFmt numFmtId="2" formatCode="0.00"/>
      <alignment horizontal="left" vertical="top" textRotation="0" wrapText="0" indent="0" justifyLastLine="0" shrinkToFit="0" readingOrder="0"/>
      <border diagonalUp="0" diagonalDown="0">
        <left/>
        <right/>
        <top style="thin">
          <color theme="6" tint="0.39997558519241921"/>
        </top>
        <bottom style="thin">
          <color theme="6" tint="0.39997558519241921"/>
        </bottom>
        <vertical/>
        <horizontal/>
      </border>
    </dxf>
    <dxf>
      <font>
        <b val="0"/>
        <i val="0"/>
        <strike val="0"/>
        <condense val="0"/>
        <extend val="0"/>
        <outline val="0"/>
        <shadow val="0"/>
        <u val="none"/>
        <vertAlign val="baseline"/>
        <sz val="12"/>
        <color theme="1"/>
        <name val="Calibri"/>
        <family val="2"/>
        <scheme val="minor"/>
      </font>
      <numFmt numFmtId="2" formatCode="0.00"/>
      <alignment horizontal="left" vertical="top" textRotation="0" wrapText="0" indent="0" justifyLastLine="0" shrinkToFit="0" readingOrder="0"/>
      <border diagonalUp="0" diagonalDown="0">
        <left/>
        <right/>
        <top style="thin">
          <color theme="6" tint="0.39997558519241921"/>
        </top>
        <bottom style="thin">
          <color theme="6" tint="0.39997558519241921"/>
        </bottom>
        <vertical/>
        <horizontal/>
      </border>
    </dxf>
    <dxf>
      <font>
        <b val="0"/>
        <i val="0"/>
        <strike val="0"/>
        <condense val="0"/>
        <extend val="0"/>
        <outline val="0"/>
        <shadow val="0"/>
        <u val="none"/>
        <vertAlign val="baseline"/>
        <sz val="12"/>
        <color theme="1"/>
        <name val="Calibri"/>
        <family val="2"/>
        <scheme val="minor"/>
      </font>
      <numFmt numFmtId="2" formatCode="0.00"/>
      <alignment horizontal="left" vertical="top" textRotation="0" wrapText="0" indent="0" justifyLastLine="0" shrinkToFit="0" readingOrder="0"/>
      <border diagonalUp="0" diagonalDown="0">
        <left/>
        <right/>
        <top style="thin">
          <color theme="6" tint="0.39997558519241921"/>
        </top>
        <bottom style="thin">
          <color theme="6" tint="0.39997558519241921"/>
        </bottom>
        <vertical/>
        <horizontal/>
      </border>
    </dxf>
    <dxf>
      <font>
        <b val="0"/>
        <i val="0"/>
        <strike val="0"/>
        <condense val="0"/>
        <extend val="0"/>
        <outline val="0"/>
        <shadow val="0"/>
        <u val="none"/>
        <vertAlign val="baseline"/>
        <sz val="12"/>
        <color theme="1"/>
        <name val="Calibri"/>
        <family val="2"/>
        <scheme val="minor"/>
      </font>
      <numFmt numFmtId="2" formatCode="0.00"/>
      <alignment horizontal="left" vertical="top" textRotation="0" wrapText="0" indent="0" justifyLastLine="0" shrinkToFit="0" readingOrder="0"/>
      <border diagonalUp="0" diagonalDown="0">
        <left/>
        <right/>
        <top style="thin">
          <color theme="6" tint="0.39997558519241921"/>
        </top>
        <bottom style="thin">
          <color theme="6" tint="0.39997558519241921"/>
        </bottom>
        <vertical/>
        <horizontal/>
      </border>
    </dxf>
    <dxf>
      <font>
        <b val="0"/>
        <i val="0"/>
        <strike val="0"/>
        <condense val="0"/>
        <extend val="0"/>
        <outline val="0"/>
        <shadow val="0"/>
        <u val="none"/>
        <vertAlign val="baseline"/>
        <sz val="12"/>
        <color theme="1"/>
        <name val="Calibri"/>
        <family val="2"/>
        <scheme val="minor"/>
      </font>
      <numFmt numFmtId="2" formatCode="0.00"/>
      <alignment horizontal="left" vertical="top" textRotation="0" wrapText="0" indent="0" justifyLastLine="0" shrinkToFit="0" readingOrder="0"/>
      <border diagonalUp="0" diagonalDown="0">
        <left/>
        <right/>
        <top style="thin">
          <color theme="6" tint="0.39997558519241921"/>
        </top>
        <bottom style="thin">
          <color theme="6" tint="0.39997558519241921"/>
        </bottom>
        <vertical/>
        <horizontal/>
      </border>
    </dxf>
    <dxf>
      <font>
        <b val="0"/>
        <i val="0"/>
        <strike val="0"/>
        <condense val="0"/>
        <extend val="0"/>
        <outline val="0"/>
        <shadow val="0"/>
        <u val="none"/>
        <vertAlign val="baseline"/>
        <sz val="12"/>
        <color theme="1"/>
        <name val="Calibri"/>
        <family val="2"/>
        <scheme val="minor"/>
      </font>
      <numFmt numFmtId="2" formatCode="0.00"/>
      <alignment horizontal="left" vertical="top" textRotation="0" wrapText="0" indent="0" justifyLastLine="0" shrinkToFit="0" readingOrder="0"/>
      <border diagonalUp="0" diagonalDown="0">
        <left/>
        <right/>
        <top style="thin">
          <color theme="6" tint="0.39997558519241921"/>
        </top>
        <bottom style="thin">
          <color theme="6" tint="0.39997558519241921"/>
        </bottom>
        <vertical/>
        <horizontal/>
      </border>
    </dxf>
    <dxf>
      <font>
        <b val="0"/>
        <i val="0"/>
        <strike val="0"/>
        <condense val="0"/>
        <extend val="0"/>
        <outline val="0"/>
        <shadow val="0"/>
        <u val="none"/>
        <vertAlign val="baseline"/>
        <sz val="12"/>
        <color theme="1"/>
        <name val="Calibri"/>
        <family val="2"/>
        <scheme val="minor"/>
      </font>
      <alignment horizontal="left" vertical="top" textRotation="0" wrapText="0" indent="0" justifyLastLine="0" shrinkToFit="0" readingOrder="0"/>
      <border diagonalUp="0" diagonalDown="0">
        <left/>
        <right/>
        <top style="thin">
          <color theme="6" tint="0.39997558519241921"/>
        </top>
        <bottom style="thin">
          <color theme="6" tint="0.39997558519241921"/>
        </bottom>
        <vertical/>
        <horizontal/>
      </border>
    </dxf>
    <dxf>
      <font>
        <b val="0"/>
        <i val="0"/>
        <strike val="0"/>
        <condense val="0"/>
        <extend val="0"/>
        <outline val="0"/>
        <shadow val="0"/>
        <u val="none"/>
        <vertAlign val="baseline"/>
        <sz val="12"/>
        <color theme="1"/>
        <name val="Calibri"/>
        <family val="2"/>
        <scheme val="minor"/>
      </font>
      <alignment horizontal="left" vertical="top" textRotation="0" wrapText="0" indent="0" justifyLastLine="0" shrinkToFit="0" readingOrder="0"/>
      <border diagonalUp="0" diagonalDown="0">
        <left/>
        <right/>
        <top style="thin">
          <color theme="6" tint="0.39997558519241921"/>
        </top>
        <bottom style="thin">
          <color theme="6" tint="0.39997558519241921"/>
        </bottom>
        <vertical/>
        <horizontal/>
      </border>
    </dxf>
    <dxf>
      <font>
        <b val="0"/>
        <i val="0"/>
        <strike val="0"/>
        <condense val="0"/>
        <extend val="0"/>
        <outline val="0"/>
        <shadow val="0"/>
        <u val="none"/>
        <vertAlign val="baseline"/>
        <sz val="12"/>
        <color theme="1"/>
        <name val="Calibri"/>
        <family val="2"/>
        <scheme val="minor"/>
      </font>
      <alignment horizontal="left" vertical="top" textRotation="0" wrapText="0" indent="0" justifyLastLine="0" shrinkToFit="0" readingOrder="0"/>
      <border diagonalUp="0" diagonalDown="0">
        <left/>
        <right/>
        <top style="thin">
          <color theme="6" tint="0.39997558519241921"/>
        </top>
        <bottom style="thin">
          <color theme="6" tint="0.39997558519241921"/>
        </bottom>
        <vertical/>
        <horizontal/>
      </border>
    </dxf>
    <dxf>
      <border outline="0">
        <top style="thin">
          <color theme="6" tint="0.39997558519241921"/>
        </top>
      </border>
    </dxf>
    <dxf>
      <border outline="0">
        <left style="thin">
          <color theme="6" tint="0.39997558519241921"/>
        </left>
        <right style="thin">
          <color theme="6" tint="0.39997558519241921"/>
        </right>
        <top style="thin">
          <color theme="6" tint="0.39997558519241921"/>
        </top>
        <bottom style="thin">
          <color theme="6" tint="0.39997558519241921"/>
        </bottom>
      </border>
    </dxf>
    <dxf>
      <font>
        <b val="0"/>
        <i val="0"/>
        <strike val="0"/>
        <condense val="0"/>
        <extend val="0"/>
        <outline val="0"/>
        <shadow val="0"/>
        <u val="none"/>
        <vertAlign val="baseline"/>
        <sz val="12"/>
        <color theme="1"/>
        <name val="Calibri"/>
        <family val="2"/>
        <scheme val="minor"/>
      </font>
      <alignment horizontal="left" vertical="top" textRotation="0" wrapText="0" indent="0" justifyLastLine="0" shrinkToFit="0" readingOrder="0"/>
    </dxf>
    <dxf>
      <border outline="0">
        <bottom style="thin">
          <color theme="6" tint="0.39997558519241921"/>
        </bottom>
      </border>
    </dxf>
    <dxf>
      <font>
        <b/>
        <i val="0"/>
        <strike val="0"/>
        <condense val="0"/>
        <extend val="0"/>
        <outline val="0"/>
        <shadow val="0"/>
        <u val="none"/>
        <vertAlign val="baseline"/>
        <sz val="12"/>
        <color theme="0"/>
        <name val="Calibri"/>
        <family val="2"/>
        <scheme val="minor"/>
      </font>
      <fill>
        <patternFill patternType="solid">
          <fgColor theme="6"/>
          <bgColor theme="6"/>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2" formatCode="0.00"/>
      <alignment horizontal="left" vertical="top" textRotation="0" wrapText="0" indent="0" justifyLastLine="0" shrinkToFit="0" readingOrder="0"/>
    </dxf>
    <dxf>
      <font>
        <strike val="0"/>
        <outline val="0"/>
        <shadow val="0"/>
        <u val="none"/>
        <vertAlign val="baseline"/>
        <sz val="12"/>
        <color rgb="FF000000"/>
        <name val="Calibri"/>
        <family val="2"/>
        <scheme val="minor"/>
      </font>
      <numFmt numFmtId="2" formatCode="0.00"/>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2" formatCode="0.00"/>
      <alignment horizontal="left" vertical="top" textRotation="0" wrapText="0" indent="0" justifyLastLine="0" shrinkToFit="0" readingOrder="0"/>
    </dxf>
    <dxf>
      <font>
        <strike val="0"/>
        <outline val="0"/>
        <shadow val="0"/>
        <u val="none"/>
        <vertAlign val="baseline"/>
        <sz val="12"/>
        <color rgb="FF000000"/>
        <name val="Calibri"/>
        <family val="2"/>
        <scheme val="minor"/>
      </font>
      <numFmt numFmtId="2" formatCode="0.00"/>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2" formatCode="0.00"/>
      <alignment horizontal="left" vertical="top" textRotation="0" wrapText="0" indent="0" justifyLastLine="0" shrinkToFit="0" readingOrder="0"/>
    </dxf>
    <dxf>
      <font>
        <strike val="0"/>
        <outline val="0"/>
        <shadow val="0"/>
        <u val="none"/>
        <vertAlign val="baseline"/>
        <sz val="12"/>
        <color rgb="FF000000"/>
        <name val="Calibri"/>
        <family val="2"/>
        <scheme val="minor"/>
      </font>
      <numFmt numFmtId="2" formatCode="0.00"/>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2" formatCode="0.00"/>
      <alignment horizontal="left" vertical="top" textRotation="0" wrapText="0" indent="0" justifyLastLine="0" shrinkToFit="0" readingOrder="0"/>
    </dxf>
    <dxf>
      <font>
        <strike val="0"/>
        <outline val="0"/>
        <shadow val="0"/>
        <u val="none"/>
        <vertAlign val="baseline"/>
        <sz val="12"/>
        <color rgb="FF000000"/>
        <name val="Calibri"/>
        <family val="2"/>
        <scheme val="minor"/>
      </font>
      <numFmt numFmtId="2" formatCode="0.00"/>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2" formatCode="0.00"/>
      <alignment horizontal="left" vertical="top" textRotation="0" wrapText="0" indent="0" justifyLastLine="0" shrinkToFit="0" readingOrder="0"/>
    </dxf>
    <dxf>
      <font>
        <strike val="0"/>
        <outline val="0"/>
        <shadow val="0"/>
        <u val="none"/>
        <vertAlign val="baseline"/>
        <sz val="12"/>
        <color rgb="FF000000"/>
        <name val="Calibri"/>
        <family val="2"/>
        <scheme val="minor"/>
      </font>
      <numFmt numFmtId="2" formatCode="0.00"/>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2" formatCode="0.00"/>
      <alignment horizontal="left" vertical="top" textRotation="0" wrapText="0" indent="0" justifyLastLine="0" shrinkToFit="0" readingOrder="0"/>
    </dxf>
    <dxf>
      <font>
        <strike val="0"/>
        <outline val="0"/>
        <shadow val="0"/>
        <u val="none"/>
        <vertAlign val="baseline"/>
        <sz val="12"/>
        <color rgb="FF000000"/>
        <name val="Calibri"/>
        <family val="2"/>
        <scheme val="minor"/>
      </font>
      <numFmt numFmtId="2" formatCode="0.00"/>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2" formatCode="0.00"/>
      <alignment horizontal="left" vertical="top" textRotation="0" wrapText="0" indent="0" justifyLastLine="0" shrinkToFit="0" readingOrder="0"/>
    </dxf>
    <dxf>
      <font>
        <strike val="0"/>
        <outline val="0"/>
        <shadow val="0"/>
        <u val="none"/>
        <vertAlign val="baseline"/>
        <sz val="12"/>
        <color rgb="FF000000"/>
        <name val="Calibri"/>
        <family val="2"/>
        <scheme val="minor"/>
      </font>
      <numFmt numFmtId="2" formatCode="0.00"/>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2" formatCode="0.00"/>
      <alignment horizontal="left" vertical="top" textRotation="0" wrapText="0" indent="0" justifyLastLine="0" shrinkToFit="0" readingOrder="0"/>
    </dxf>
    <dxf>
      <font>
        <strike val="0"/>
        <outline val="0"/>
        <shadow val="0"/>
        <u val="none"/>
        <vertAlign val="baseline"/>
        <sz val="12"/>
        <color rgb="FF000000"/>
        <name val="Calibri"/>
        <family val="2"/>
        <scheme val="minor"/>
      </font>
      <numFmt numFmtId="2" formatCode="0.00"/>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2" formatCode="0.00"/>
      <alignment horizontal="left" vertical="top" textRotation="0" wrapText="0" indent="0" justifyLastLine="0" shrinkToFit="0" readingOrder="0"/>
    </dxf>
    <dxf>
      <font>
        <strike val="0"/>
        <outline val="0"/>
        <shadow val="0"/>
        <u val="none"/>
        <vertAlign val="baseline"/>
        <sz val="12"/>
        <color rgb="FF000000"/>
        <name val="Calibri"/>
        <family val="2"/>
        <scheme val="minor"/>
      </font>
      <numFmt numFmtId="2" formatCode="0.00"/>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2" formatCode="0.00"/>
      <alignment horizontal="left" vertical="top" textRotation="0" wrapText="0" indent="0" justifyLastLine="0" shrinkToFit="0" readingOrder="0"/>
    </dxf>
    <dxf>
      <font>
        <strike val="0"/>
        <outline val="0"/>
        <shadow val="0"/>
        <u val="none"/>
        <vertAlign val="baseline"/>
        <sz val="12"/>
        <color rgb="FF000000"/>
        <name val="Calibri"/>
        <family val="2"/>
        <scheme val="minor"/>
      </font>
      <numFmt numFmtId="2" formatCode="0.00"/>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alignment horizontal="left" vertical="top" textRotation="0" wrapText="0" indent="0" justifyLastLine="0" shrinkToFit="0" readingOrder="0"/>
    </dxf>
    <dxf>
      <font>
        <strike val="0"/>
        <outline val="0"/>
        <shadow val="0"/>
        <u val="none"/>
        <vertAlign val="baseline"/>
        <sz val="12"/>
        <color rgb="FF000000"/>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alignment horizontal="left" vertical="top" textRotation="0" wrapText="0" indent="0" justifyLastLine="0" shrinkToFit="0" readingOrder="0"/>
    </dxf>
    <dxf>
      <font>
        <strike val="0"/>
        <outline val="0"/>
        <shadow val="0"/>
        <u val="none"/>
        <vertAlign val="baseline"/>
        <sz val="12"/>
        <color rgb="FF000000"/>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alignment horizontal="left" vertical="top" textRotation="0" wrapText="0" indent="0" justifyLastLine="0" shrinkToFit="0" readingOrder="0"/>
    </dxf>
    <dxf>
      <font>
        <strike val="0"/>
        <outline val="0"/>
        <shadow val="0"/>
        <u val="none"/>
        <vertAlign val="baseline"/>
        <sz val="12"/>
        <color rgb="FF000000"/>
        <name val="Calibri"/>
        <family val="2"/>
        <scheme val="minor"/>
      </font>
      <alignment horizontal="left" vertical="top" textRotation="0" wrapText="0" indent="0" justifyLastLine="0" shrinkToFit="0" readingOrder="0"/>
    </dxf>
    <dxf>
      <font>
        <strike val="0"/>
        <outline val="0"/>
        <shadow val="0"/>
        <u val="none"/>
        <vertAlign val="baseline"/>
        <sz val="12"/>
        <color rgb="FF000000"/>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alignment horizontal="left" vertical="top" textRotation="0" wrapText="0" indent="0" justifyLastLine="0" shrinkToFit="0" readingOrder="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b val="0"/>
        <i val="0"/>
        <strike val="0"/>
        <condense val="0"/>
        <extend val="0"/>
        <outline val="0"/>
        <shadow val="0"/>
        <u val="none"/>
        <vertAlign val="baseline"/>
        <sz val="12"/>
        <color rgb="FF000000"/>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fill>
        <patternFill patternType="none">
          <fgColor indexed="64"/>
          <bgColor indexed="65"/>
        </patternFill>
      </fill>
      <alignment horizontal="left" vertical="top" textRotation="0" wrapText="0" indent="0" justifyLastLine="0" shrinkToFit="0" readingOrder="0"/>
    </dxf>
    <dxf>
      <font>
        <strike val="0"/>
        <outline val="0"/>
        <shadow val="0"/>
        <u val="none"/>
        <vertAlign val="baseline"/>
        <sz val="12"/>
        <color rgb="FF000000"/>
        <name val="Calibri"/>
        <family val="2"/>
        <scheme val="minor"/>
      </font>
    </dxf>
    <dxf>
      <font>
        <b val="0"/>
        <i val="0"/>
        <strike val="0"/>
        <condense val="0"/>
        <extend val="0"/>
        <outline val="0"/>
        <shadow val="0"/>
        <u val="none"/>
        <vertAlign val="baseline"/>
        <sz val="12"/>
        <color rgb="FF000000"/>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fill>
        <patternFill patternType="none">
          <fgColor indexed="64"/>
          <bgColor indexed="65"/>
        </patternFill>
      </fill>
      <alignment horizontal="left" vertical="top" textRotation="0" wrapText="0" indent="0" justifyLastLine="0" shrinkToFit="0" readingOrder="0"/>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dxf>
    <dxf>
      <font>
        <b val="0"/>
        <i val="0"/>
        <strike val="0"/>
        <condense val="0"/>
        <extend val="0"/>
        <outline val="0"/>
        <shadow val="0"/>
        <u val="none"/>
        <vertAlign val="baseline"/>
        <sz val="12"/>
        <color rgb="FF000000"/>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theme="0"/>
        <name val="Calibri"/>
        <family val="2"/>
        <scheme val="minor"/>
      </font>
      <fill>
        <patternFill patternType="none">
          <fgColor indexed="64"/>
          <bgColor indexed="65"/>
        </patternFill>
      </fill>
      <alignment horizontal="left" vertical="top" textRotation="0" wrapText="0" indent="0" justifyLastLine="0" shrinkToFit="0" readingOrder="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2"/>
        <color theme="0"/>
        <name val="Calibri"/>
        <family val="2"/>
        <scheme val="minor"/>
      </font>
      <fill>
        <patternFill patternType="solid">
          <fgColor theme="4"/>
          <bgColor theme="4"/>
        </patternFill>
      </fill>
      <alignment horizontal="left" vertical="top" textRotation="0" wrapText="0" indent="0" justifyLastLine="0" shrinkToFit="0" readingOrder="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numFmt numFmtId="164" formatCode="0.0"/>
      <alignment horizontal="left" vertical="top" textRotation="0" wrapText="0" indent="0" justifyLastLine="0" shrinkToFit="0" readingOrder="0"/>
    </dxf>
    <dxf>
      <font>
        <strike val="0"/>
        <outline val="0"/>
        <shadow val="0"/>
        <u val="none"/>
        <vertAlign val="baseline"/>
        <sz val="12"/>
        <color rgb="FF000000"/>
        <name val="Calibri"/>
        <family val="2"/>
        <scheme val="minor"/>
      </font>
      <numFmt numFmtId="164" formatCode="0.0"/>
      <alignment horizontal="left" vertical="top" textRotation="0" wrapText="0" indent="0" justifyLastLine="0" shrinkToFit="0" readingOrder="0"/>
    </dxf>
    <dxf>
      <font>
        <strike val="0"/>
        <outline val="0"/>
        <shadow val="0"/>
        <u val="none"/>
        <vertAlign val="baseline"/>
        <sz val="12"/>
        <color rgb="FF000000"/>
        <name val="Calibri"/>
        <family val="2"/>
        <scheme val="minor"/>
      </font>
      <numFmt numFmtId="164" formatCode="0.0"/>
      <alignment horizontal="left" vertical="top" textRotation="0" wrapText="0" indent="0" justifyLastLine="0" shrinkToFit="0" readingOrder="0"/>
    </dxf>
    <dxf>
      <font>
        <strike val="0"/>
        <outline val="0"/>
        <shadow val="0"/>
        <u val="none"/>
        <vertAlign val="baseline"/>
        <sz val="12"/>
        <color rgb="FF000000"/>
        <name val="Calibri"/>
        <family val="2"/>
        <scheme val="minor"/>
      </font>
      <numFmt numFmtId="164" formatCode="0.0"/>
      <alignment horizontal="left" vertical="top" textRotation="0" wrapText="0" indent="0" justifyLastLine="0" shrinkToFit="0" readingOrder="0"/>
    </dxf>
    <dxf>
      <font>
        <strike val="0"/>
        <outline val="0"/>
        <shadow val="0"/>
        <u val="none"/>
        <vertAlign val="baseline"/>
        <sz val="12"/>
        <color rgb="FF000000"/>
        <name val="Calibri"/>
        <family val="2"/>
        <scheme val="minor"/>
      </font>
      <numFmt numFmtId="164" formatCode="0.0"/>
      <alignment horizontal="left" vertical="top" textRotation="0" wrapText="0" indent="0" justifyLastLine="0" shrinkToFit="0" readingOrder="0"/>
    </dxf>
    <dxf>
      <font>
        <strike val="0"/>
        <outline val="0"/>
        <shadow val="0"/>
        <u val="none"/>
        <vertAlign val="baseline"/>
        <sz val="12"/>
        <color rgb="FF000000"/>
        <name val="Calibri"/>
        <family val="2"/>
        <scheme val="minor"/>
      </font>
      <numFmt numFmtId="164" formatCode="0.0"/>
      <alignment horizontal="left" vertical="top" textRotation="0" wrapText="0" indent="0" justifyLastLine="0" shrinkToFit="0" readingOrder="0"/>
    </dxf>
    <dxf>
      <font>
        <strike val="0"/>
        <outline val="0"/>
        <shadow val="0"/>
        <u val="none"/>
        <vertAlign val="baseline"/>
        <sz val="12"/>
        <color rgb="FF000000"/>
        <name val="Calibri"/>
        <family val="2"/>
        <scheme val="minor"/>
      </font>
      <numFmt numFmtId="164" formatCode="0.0"/>
      <alignment horizontal="left" vertical="top" textRotation="0" wrapText="0" indent="0" justifyLastLine="0" shrinkToFit="0" readingOrder="0"/>
    </dxf>
    <dxf>
      <font>
        <strike val="0"/>
        <outline val="0"/>
        <shadow val="0"/>
        <u val="none"/>
        <vertAlign val="baseline"/>
        <sz val="12"/>
        <color rgb="FF000000"/>
        <name val="Calibri"/>
        <family val="2"/>
        <scheme val="minor"/>
      </font>
      <numFmt numFmtId="164" formatCode="0.0"/>
      <alignment horizontal="left" vertical="top" textRotation="0" wrapText="0" indent="0" justifyLastLine="0" shrinkToFit="0" readingOrder="0"/>
    </dxf>
    <dxf>
      <font>
        <strike val="0"/>
        <outline val="0"/>
        <shadow val="0"/>
        <u val="none"/>
        <vertAlign val="baseline"/>
        <sz val="12"/>
        <color rgb="FF000000"/>
        <name val="Calibri"/>
        <family val="2"/>
        <scheme val="minor"/>
      </font>
      <numFmt numFmtId="164" formatCode="0.0"/>
      <alignment horizontal="left" vertical="top" textRotation="0" wrapText="0" indent="0" justifyLastLine="0" shrinkToFit="0" readingOrder="0"/>
    </dxf>
    <dxf>
      <font>
        <strike val="0"/>
        <outline val="0"/>
        <shadow val="0"/>
        <u val="none"/>
        <vertAlign val="baseline"/>
        <sz val="12"/>
        <color rgb="FF000000"/>
        <name val="Calibri"/>
        <family val="2"/>
        <scheme val="minor"/>
      </font>
      <numFmt numFmtId="164" formatCode="0.0"/>
      <alignment horizontal="left" vertical="top" textRotation="0" wrapText="0" indent="0" justifyLastLine="0" shrinkToFit="0" readingOrder="0"/>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b val="0"/>
        <i val="0"/>
        <strike val="0"/>
        <condense val="0"/>
        <extend val="0"/>
        <outline val="0"/>
        <shadow val="0"/>
        <u val="none"/>
        <vertAlign val="baseline"/>
        <sz val="12"/>
        <color theme="1"/>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theme="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theme="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theme="0"/>
        <name val="Calibri"/>
        <family val="2"/>
        <scheme val="minor"/>
      </font>
      <fill>
        <patternFill patternType="none">
          <fgColor indexed="64"/>
          <bgColor indexed="65"/>
        </patternFill>
      </fill>
      <alignment horizontal="left" vertical="top" textRotation="0" wrapText="0" indent="0" justifyLastLine="0" shrinkToFit="0" readingOrder="0"/>
    </dxf>
  </dxfs>
  <tableStyles count="0" defaultTableStyle="TableStyleMedium9" defaultPivotStyle="PivotStyleLight16"/>
  <colors>
    <mruColors>
      <color rgb="FFB3CDED"/>
      <color rgb="FFB9D1EF"/>
      <color rgb="FFA6C5EA"/>
      <color rgb="FFB1CCED"/>
      <color rgb="FFBBD3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theme" Target="theme/theme1.xml"/><Relationship Id="rId23" Type="http://schemas.openxmlformats.org/officeDocument/2006/relationships/customXml" Target="../customXml/item3.xml"/><Relationship Id="rId10" Type="http://schemas.openxmlformats.org/officeDocument/2006/relationships/worksheet" Target="worksheets/sheet10.xml"/><Relationship Id="rId19"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3600" b="1" i="0" u="none" strike="noStrike" kern="1200" baseline="0">
                <a:solidFill>
                  <a:schemeClr val="dk1">
                    <a:lumMod val="75000"/>
                    <a:lumOff val="25000"/>
                  </a:schemeClr>
                </a:solidFill>
                <a:latin typeface="+mn-lt"/>
                <a:ea typeface="+mn-ea"/>
                <a:cs typeface="+mn-cs"/>
              </a:defRPr>
            </a:pPr>
            <a:r>
              <a:rPr lang="en-US" sz="3600"/>
              <a:t>MACROS</a:t>
            </a:r>
          </a:p>
        </c:rich>
      </c:tx>
      <c:overlay val="0"/>
      <c:spPr>
        <a:noFill/>
        <a:ln>
          <a:noFill/>
        </a:ln>
        <a:effectLst/>
      </c:spPr>
      <c:txPr>
        <a:bodyPr rot="0" spcFirstLastPara="1" vertOverflow="ellipsis" vert="horz" wrap="square" anchor="ctr" anchorCtr="1"/>
        <a:lstStyle/>
        <a:p>
          <a:pPr>
            <a:defRPr sz="36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74B8-4B92-B6AE-D22F0A011343}"/>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74B8-4B92-B6AE-D22F0A011343}"/>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74B8-4B92-B6AE-D22F0A011343}"/>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(UI!$AE$30,UI!$AE$31,UI!$AE$33)</c:f>
              <c:strCache>
                <c:ptCount val="3"/>
                <c:pt idx="0">
                  <c:v>Protein (g)</c:v>
                </c:pt>
                <c:pt idx="1">
                  <c:v>Fat, Total (g)</c:v>
                </c:pt>
                <c:pt idx="2">
                  <c:v>Carbohydrates (g)</c:v>
                </c:pt>
              </c:strCache>
            </c:strRef>
          </c:cat>
          <c:val>
            <c:numRef>
              <c:f>(UI!$AF$30,UI!$AF$31,UI!$AF$33)</c:f>
              <c:numCache>
                <c:formatCode>0.0</c:formatCode>
                <c:ptCount val="3"/>
                <c:pt idx="0">
                  <c:v>0</c:v>
                </c:pt>
                <c:pt idx="1">
                  <c:v>0</c:v>
                </c:pt>
                <c:pt idx="2">
                  <c:v>0</c:v>
                </c:pt>
              </c:numCache>
            </c:numRef>
          </c:val>
          <c:extLst>
            <c:ext xmlns:c16="http://schemas.microsoft.com/office/drawing/2014/chart" uri="{C3380CC4-5D6E-409C-BE32-E72D297353CC}">
              <c16:uniqueId val="{00000000-8F13-4F66-A4D2-06382CC63104}"/>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18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CheckBox" fmlaLink="Calculator!$B$6" lockText="1" noThreeD="1"/>
</file>

<file path=xl/ctrlProps/ctrlProp2.xml><?xml version="1.0" encoding="utf-8"?>
<formControlPr xmlns="http://schemas.microsoft.com/office/spreadsheetml/2009/9/main" objectType="CheckBox" fmlaLink="Calculator!$B$7" lockText="1" noThreeD="1"/>
</file>

<file path=xl/ctrlProps/ctrlProp3.xml><?xml version="1.0" encoding="utf-8"?>
<formControlPr xmlns="http://schemas.microsoft.com/office/spreadsheetml/2009/9/main" objectType="CheckBox" fmlaLink="Calculator!$B$8" lockText="1" noThreeD="1"/>
</file>

<file path=xl/ctrlProps/ctrlProp4.xml><?xml version="1.0" encoding="utf-8"?>
<formControlPr xmlns="http://schemas.microsoft.com/office/spreadsheetml/2009/9/main" objectType="CheckBox" fmlaLink="Calculator!$B$9" lockText="1" noThreeD="1"/>
</file>

<file path=xl/ctrlProps/ctrlProp5.xml><?xml version="1.0" encoding="utf-8"?>
<formControlPr xmlns="http://schemas.microsoft.com/office/spreadsheetml/2009/9/main" objectType="CheckBox" fmlaLink="Calculator!$B$10" lockText="1" noThreeD="1"/>
</file>

<file path=xl/ctrlProps/ctrlProp6.xml><?xml version="1.0" encoding="utf-8"?>
<formControlPr xmlns="http://schemas.microsoft.com/office/spreadsheetml/2009/9/main" objectType="CheckBox" fmlaLink="Calculator!$B$11" lockText="1" noThreeD="1"/>
</file>

<file path=xl/ctrlProps/ctrlProp7.xml><?xml version="1.0" encoding="utf-8"?>
<formControlPr xmlns="http://schemas.microsoft.com/office/spreadsheetml/2009/9/main" objectType="CheckBox" fmlaLink="Calculator!$B$12" lockText="1" noThreeD="1"/>
</file>

<file path=xl/ctrlProps/ctrlProp8.xml><?xml version="1.0" encoding="utf-8"?>
<formControlPr xmlns="http://schemas.microsoft.com/office/spreadsheetml/2009/9/main" objectType="CheckBox" fmlaLink="Calculator!$B$13" lockText="1" noThreeD="1"/>
</file>

<file path=xl/ctrlProps/ctrlProp9.xml><?xml version="1.0" encoding="utf-8"?>
<formControlPr xmlns="http://schemas.microsoft.com/office/spreadsheetml/2009/9/main" objectType="CheckBox" fmlaLink="Calculator!$B$14" lockText="1" noThreeD="1"/>
</file>

<file path=xl/ctrlProps/ctrlProp10.xml><?xml version="1.0" encoding="utf-8"?>
<formControlPr xmlns="http://schemas.microsoft.com/office/spreadsheetml/2009/9/main" objectType="CheckBox" fmlaLink="Calculator!$B$15" lockText="1" noThreeD="1"/>
</file>

<file path=xl/ctrlProps/ctrlProp11.xml><?xml version="1.0" encoding="utf-8"?>
<formControlPr xmlns="http://schemas.microsoft.com/office/spreadsheetml/2009/9/main" objectType="CheckBox" fmlaLink="Calculator!$B$16" lockText="1" noThreeD="1"/>
</file>

<file path=xl/ctrlProps/ctrlProp12.xml><?xml version="1.0" encoding="utf-8"?>
<formControlPr xmlns="http://schemas.microsoft.com/office/spreadsheetml/2009/9/main" objectType="CheckBox" fmlaLink="Calculator!$B$17" lockText="1" noThreeD="1"/>
</file>

<file path=xl/ctrlProps/ctrlProp13.xml><?xml version="1.0" encoding="utf-8"?>
<formControlPr xmlns="http://schemas.microsoft.com/office/spreadsheetml/2009/9/main" objectType="CheckBox" fmlaLink="Calculator!$B$18" lockText="1" noThreeD="1"/>
</file>

<file path=xl/ctrlProps/ctrlProp14.xml><?xml version="1.0" encoding="utf-8"?>
<formControlPr xmlns="http://schemas.microsoft.com/office/spreadsheetml/2009/9/main" objectType="CheckBox" fmlaLink="Calculator!$B$21" lockText="1" noThreeD="1"/>
</file>

<file path=xl/ctrlProps/ctrlProp15.xml><?xml version="1.0" encoding="utf-8"?>
<formControlPr xmlns="http://schemas.microsoft.com/office/spreadsheetml/2009/9/main" objectType="CheckBox" fmlaLink="Calculator!$B$22" lockText="1" noThreeD="1"/>
</file>

<file path=xl/ctrlProps/ctrlProp16.xml><?xml version="1.0" encoding="utf-8"?>
<formControlPr xmlns="http://schemas.microsoft.com/office/spreadsheetml/2009/9/main" objectType="CheckBox" fmlaLink="Calculator!$B$23" lockText="1" noThreeD="1"/>
</file>

<file path=xl/ctrlProps/ctrlProp17.xml><?xml version="1.0" encoding="utf-8"?>
<formControlPr xmlns="http://schemas.microsoft.com/office/spreadsheetml/2009/9/main" objectType="CheckBox" fmlaLink="Calculator!$I$6" lockText="1" noThreeD="1"/>
</file>

<file path=xl/ctrlProps/ctrlProp18.xml><?xml version="1.0" encoding="utf-8"?>
<formControlPr xmlns="http://schemas.microsoft.com/office/spreadsheetml/2009/9/main" objectType="CheckBox" fmlaLink="Calculator!$I$7" lockText="1" noThreeD="1"/>
</file>

<file path=xl/ctrlProps/ctrlProp19.xml><?xml version="1.0" encoding="utf-8"?>
<formControlPr xmlns="http://schemas.microsoft.com/office/spreadsheetml/2009/9/main" objectType="CheckBox" fmlaLink="Calculator!$I$8" lockText="1" noThreeD="1"/>
</file>

<file path=xl/ctrlProps/ctrlProp20.xml><?xml version="1.0" encoding="utf-8"?>
<formControlPr xmlns="http://schemas.microsoft.com/office/spreadsheetml/2009/9/main" objectType="CheckBox" fmlaLink="Calculator!$I$9" lockText="1" noThreeD="1"/>
</file>

<file path=xl/ctrlProps/ctrlProp21.xml><?xml version="1.0" encoding="utf-8"?>
<formControlPr xmlns="http://schemas.microsoft.com/office/spreadsheetml/2009/9/main" objectType="CheckBox" fmlaLink="Calculator!$I$10" lockText="1" noThreeD="1"/>
</file>

<file path=xl/ctrlProps/ctrlProp22.xml><?xml version="1.0" encoding="utf-8"?>
<formControlPr xmlns="http://schemas.microsoft.com/office/spreadsheetml/2009/9/main" objectType="CheckBox" fmlaLink="Calculator!$I$11" lockText="1" noThreeD="1"/>
</file>

<file path=xl/ctrlProps/ctrlProp23.xml><?xml version="1.0" encoding="utf-8"?>
<formControlPr xmlns="http://schemas.microsoft.com/office/spreadsheetml/2009/9/main" objectType="CheckBox" fmlaLink="Calculator!$I$12" lockText="1" noThreeD="1"/>
</file>

<file path=xl/ctrlProps/ctrlProp24.xml><?xml version="1.0" encoding="utf-8"?>
<formControlPr xmlns="http://schemas.microsoft.com/office/spreadsheetml/2009/9/main" objectType="CheckBox" fmlaLink="Calculator!$I$13" lockText="1" noThreeD="1"/>
</file>

<file path=xl/ctrlProps/ctrlProp25.xml><?xml version="1.0" encoding="utf-8"?>
<formControlPr xmlns="http://schemas.microsoft.com/office/spreadsheetml/2009/9/main" objectType="CheckBox" fmlaLink="Calculator!$I$14" lockText="1" noThreeD="1"/>
</file>

<file path=xl/ctrlProps/ctrlProp26.xml><?xml version="1.0" encoding="utf-8"?>
<formControlPr xmlns="http://schemas.microsoft.com/office/spreadsheetml/2009/9/main" objectType="CheckBox" fmlaLink="Calculator!$I$15" lockText="1" noThreeD="1"/>
</file>

<file path=xl/ctrlProps/ctrlProp27.xml><?xml version="1.0" encoding="utf-8"?>
<formControlPr xmlns="http://schemas.microsoft.com/office/spreadsheetml/2009/9/main" objectType="CheckBox" fmlaLink="Calculator!$I$16" lockText="1" noThreeD="1"/>
</file>

<file path=xl/ctrlProps/ctrlProp28.xml><?xml version="1.0" encoding="utf-8"?>
<formControlPr xmlns="http://schemas.microsoft.com/office/spreadsheetml/2009/9/main" objectType="CheckBox" fmlaLink="Calculator!$I$17" lockText="1" noThreeD="1"/>
</file>

<file path=xl/ctrlProps/ctrlProp29.xml><?xml version="1.0" encoding="utf-8"?>
<formControlPr xmlns="http://schemas.microsoft.com/office/spreadsheetml/2009/9/main" objectType="CheckBox" fmlaLink="Calculator!$I$18" lockText="1" noThreeD="1"/>
</file>

<file path=xl/ctrlProps/ctrlProp30.xml><?xml version="1.0" encoding="utf-8"?>
<formControlPr xmlns="http://schemas.microsoft.com/office/spreadsheetml/2009/9/main" objectType="CheckBox" fmlaLink="Calculator!$I$19" lockText="1" noThreeD="1"/>
</file>

<file path=xl/ctrlProps/ctrlProp31.xml><?xml version="1.0" encoding="utf-8"?>
<formControlPr xmlns="http://schemas.microsoft.com/office/spreadsheetml/2009/9/main" objectType="CheckBox" fmlaLink="Calculator!$I$20" lockText="1" noThreeD="1"/>
</file>

<file path=xl/ctrlProps/ctrlProp32.xml><?xml version="1.0" encoding="utf-8"?>
<formControlPr xmlns="http://schemas.microsoft.com/office/spreadsheetml/2009/9/main" objectType="CheckBox" fmlaLink="Calculator!$I$21" lockText="1" noThreeD="1"/>
</file>

<file path=xl/ctrlProps/ctrlProp33.xml><?xml version="1.0" encoding="utf-8"?>
<formControlPr xmlns="http://schemas.microsoft.com/office/spreadsheetml/2009/9/main" objectType="CheckBox" fmlaLink="Calculator!$I$22" lockText="1" noThreeD="1"/>
</file>

<file path=xl/ctrlProps/ctrlProp34.xml><?xml version="1.0" encoding="utf-8"?>
<formControlPr xmlns="http://schemas.microsoft.com/office/spreadsheetml/2009/9/main" objectType="CheckBox" fmlaLink="Calculator!$I$23" lockText="1" noThreeD="1"/>
</file>

<file path=xl/ctrlProps/ctrlProp35.xml><?xml version="1.0" encoding="utf-8"?>
<formControlPr xmlns="http://schemas.microsoft.com/office/spreadsheetml/2009/9/main" objectType="CheckBox" fmlaLink="Calculator!$F$22" lockText="1" noThreeD="1"/>
</file>

<file path=xl/ctrlProps/ctrlProp36.xml><?xml version="1.0" encoding="utf-8"?>
<formControlPr xmlns="http://schemas.microsoft.com/office/spreadsheetml/2009/9/main" objectType="CheckBox" fmlaLink="Calculator!$F$23" lockText="1" noThreeD="1"/>
</file>

<file path=xl/ctrlProps/ctrlProp37.xml><?xml version="1.0" encoding="utf-8"?>
<formControlPr xmlns="http://schemas.microsoft.com/office/spreadsheetml/2009/9/main" objectType="CheckBox" fmlaLink="Calculator!$F$6" lockText="1" noThreeD="1"/>
</file>

<file path=xl/ctrlProps/ctrlProp38.xml><?xml version="1.0" encoding="utf-8"?>
<formControlPr xmlns="http://schemas.microsoft.com/office/spreadsheetml/2009/9/main" objectType="CheckBox" fmlaLink="Calculator!$F$7" lockText="1" noThreeD="1"/>
</file>

<file path=xl/ctrlProps/ctrlProp39.xml><?xml version="1.0" encoding="utf-8"?>
<formControlPr xmlns="http://schemas.microsoft.com/office/spreadsheetml/2009/9/main" objectType="CheckBox" fmlaLink="Calculator!$F$8" lockText="1" noThreeD="1"/>
</file>

<file path=xl/ctrlProps/ctrlProp40.xml><?xml version="1.0" encoding="utf-8"?>
<formControlPr xmlns="http://schemas.microsoft.com/office/spreadsheetml/2009/9/main" objectType="CheckBox" fmlaLink="Calculator!$F$9" lockText="1" noThreeD="1"/>
</file>

<file path=xl/ctrlProps/ctrlProp41.xml><?xml version="1.0" encoding="utf-8"?>
<formControlPr xmlns="http://schemas.microsoft.com/office/spreadsheetml/2009/9/main" objectType="CheckBox" fmlaLink="Calculator!$F$10" lockText="1" noThreeD="1"/>
</file>

<file path=xl/ctrlProps/ctrlProp42.xml><?xml version="1.0" encoding="utf-8"?>
<formControlPr xmlns="http://schemas.microsoft.com/office/spreadsheetml/2009/9/main" objectType="CheckBox" fmlaLink="Calculator!$F$11" lockText="1" noThreeD="1"/>
</file>

<file path=xl/ctrlProps/ctrlProp43.xml><?xml version="1.0" encoding="utf-8"?>
<formControlPr xmlns="http://schemas.microsoft.com/office/spreadsheetml/2009/9/main" objectType="CheckBox" fmlaLink="Calculator!$F$12" lockText="1" noThreeD="1"/>
</file>

<file path=xl/ctrlProps/ctrlProp44.xml><?xml version="1.0" encoding="utf-8"?>
<formControlPr xmlns="http://schemas.microsoft.com/office/spreadsheetml/2009/9/main" objectType="CheckBox" fmlaLink="Calculator!$F$13" lockText="1" noThreeD="1"/>
</file>

<file path=xl/ctrlProps/ctrlProp45.xml><?xml version="1.0" encoding="utf-8"?>
<formControlPr xmlns="http://schemas.microsoft.com/office/spreadsheetml/2009/9/main" objectType="CheckBox" fmlaLink="Calculator!$F$14" lockText="1" noThreeD="1"/>
</file>

<file path=xl/ctrlProps/ctrlProp46.xml><?xml version="1.0" encoding="utf-8"?>
<formControlPr xmlns="http://schemas.microsoft.com/office/spreadsheetml/2009/9/main" objectType="CheckBox" fmlaLink="Calculator!$F$15" lockText="1" noThreeD="1"/>
</file>

<file path=xl/ctrlProps/ctrlProp47.xml><?xml version="1.0" encoding="utf-8"?>
<formControlPr xmlns="http://schemas.microsoft.com/office/spreadsheetml/2009/9/main" objectType="CheckBox" fmlaLink="Calculator!$F$16" lockText="1" noThreeD="1"/>
</file>

<file path=xl/ctrlProps/ctrlProp48.xml><?xml version="1.0" encoding="utf-8"?>
<formControlPr xmlns="http://schemas.microsoft.com/office/spreadsheetml/2009/9/main" objectType="CheckBox" fmlaLink="Calculator!$F$17" lockText="1" noThreeD="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oneCellAnchor>
    <xdr:from>
      <xdr:col>0</xdr:col>
      <xdr:colOff>6095</xdr:colOff>
      <xdr:row>0</xdr:row>
      <xdr:rowOff>6095</xdr:rowOff>
    </xdr:from>
    <xdr:ext cx="6754495" cy="1198245"/>
    <xdr:grpSp>
      <xdr:nvGrpSpPr>
        <xdr:cNvPr id="2" name="Group 2">
          <a:extLst>
            <a:ext uri="{FF2B5EF4-FFF2-40B4-BE49-F238E27FC236}">
              <a16:creationId xmlns:a16="http://schemas.microsoft.com/office/drawing/2014/main" id="{00000000-0008-0000-0000-000002000000}"/>
            </a:ext>
          </a:extLst>
        </xdr:cNvPr>
        <xdr:cNvGrpSpPr/>
      </xdr:nvGrpSpPr>
      <xdr:grpSpPr>
        <a:xfrm>
          <a:off x="6095" y="6095"/>
          <a:ext cx="6754495" cy="1198245"/>
          <a:chOff x="0" y="0"/>
          <a:chExt cx="6754495" cy="1198245"/>
        </a:xfrm>
      </xdr:grpSpPr>
      <xdr:sp macro="" textlink="">
        <xdr:nvSpPr>
          <xdr:cNvPr id="3" name="Shape 3">
            <a:extLst>
              <a:ext uri="{FF2B5EF4-FFF2-40B4-BE49-F238E27FC236}">
                <a16:creationId xmlns:a16="http://schemas.microsoft.com/office/drawing/2014/main" id="{00000000-0008-0000-0000-000003000000}"/>
              </a:ext>
            </a:extLst>
          </xdr:cNvPr>
          <xdr:cNvSpPr/>
        </xdr:nvSpPr>
        <xdr:spPr>
          <a:xfrm>
            <a:off x="0" y="0"/>
            <a:ext cx="6754495" cy="1198245"/>
          </a:xfrm>
          <a:custGeom>
            <a:avLst/>
            <a:gdLst/>
            <a:ahLst/>
            <a:cxnLst/>
            <a:rect l="0" t="0" r="0" b="0"/>
            <a:pathLst>
              <a:path w="6754495" h="1198245">
                <a:moveTo>
                  <a:pt x="6754368" y="1197864"/>
                </a:moveTo>
                <a:lnTo>
                  <a:pt x="0" y="1197864"/>
                </a:lnTo>
                <a:lnTo>
                  <a:pt x="0" y="0"/>
                </a:lnTo>
                <a:lnTo>
                  <a:pt x="6754368" y="0"/>
                </a:lnTo>
                <a:lnTo>
                  <a:pt x="6754368" y="1197864"/>
                </a:lnTo>
                <a:close/>
              </a:path>
            </a:pathLst>
          </a:custGeom>
          <a:solidFill>
            <a:srgbClr val="008938">
              <a:alpha val="50000"/>
            </a:srgbClr>
          </a:solidFill>
        </xdr:spPr>
      </xdr:sp>
      <xdr:pic>
        <xdr:nvPicPr>
          <xdr:cNvPr id="4" name="image1.png">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1940" y="274320"/>
            <a:ext cx="2189988" cy="481583"/>
          </a:xfrm>
          <a:prstGeom prst="rect">
            <a:avLst/>
          </a:prstGeom>
        </xdr:spPr>
      </xdr:pic>
    </xdr:grp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0</xdr:colOff>
          <xdr:row>10</xdr:row>
          <xdr:rowOff>57150</xdr:rowOff>
        </xdr:from>
        <xdr:to>
          <xdr:col>6</xdr:col>
          <xdr:colOff>228600</xdr:colOff>
          <xdr:row>11</xdr:row>
          <xdr:rowOff>0</xdr:rowOff>
        </xdr:to>
        <xdr:sp macro="" textlink="">
          <xdr:nvSpPr>
            <xdr:cNvPr id="2067" name="Check Box 19" hidden="1">
              <a:extLst>
                <a:ext uri="{63B3BB69-23CF-44E3-9099-C40C66FF867C}">
                  <a14:compatExt spid="_x0000_s2067"/>
                </a:ext>
                <a:ext uri="{FF2B5EF4-FFF2-40B4-BE49-F238E27FC236}">
                  <a16:creationId xmlns:a16="http://schemas.microsoft.com/office/drawing/2014/main" id="{00000000-0008-0000-0A00-00001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11</xdr:row>
          <xdr:rowOff>44450</xdr:rowOff>
        </xdr:from>
        <xdr:to>
          <xdr:col>6</xdr:col>
          <xdr:colOff>228600</xdr:colOff>
          <xdr:row>12</xdr:row>
          <xdr:rowOff>0</xdr:rowOff>
        </xdr:to>
        <xdr:sp macro="" textlink="">
          <xdr:nvSpPr>
            <xdr:cNvPr id="2068" name="Check Box 20" hidden="1">
              <a:extLst>
                <a:ext uri="{63B3BB69-23CF-44E3-9099-C40C66FF867C}">
                  <a14:compatExt spid="_x0000_s2068"/>
                </a:ext>
                <a:ext uri="{FF2B5EF4-FFF2-40B4-BE49-F238E27FC236}">
                  <a16:creationId xmlns:a16="http://schemas.microsoft.com/office/drawing/2014/main" id="{00000000-0008-0000-0A00-00001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12</xdr:row>
          <xdr:rowOff>63500</xdr:rowOff>
        </xdr:from>
        <xdr:to>
          <xdr:col>6</xdr:col>
          <xdr:colOff>228600</xdr:colOff>
          <xdr:row>13</xdr:row>
          <xdr:rowOff>0</xdr:rowOff>
        </xdr:to>
        <xdr:sp macro="" textlink="">
          <xdr:nvSpPr>
            <xdr:cNvPr id="2069" name="Check Box 21" hidden="1">
              <a:extLst>
                <a:ext uri="{63B3BB69-23CF-44E3-9099-C40C66FF867C}">
                  <a14:compatExt spid="_x0000_s2069"/>
                </a:ext>
                <a:ext uri="{FF2B5EF4-FFF2-40B4-BE49-F238E27FC236}">
                  <a16:creationId xmlns:a16="http://schemas.microsoft.com/office/drawing/2014/main" id="{00000000-0008-0000-0A00-00001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13</xdr:row>
          <xdr:rowOff>57150</xdr:rowOff>
        </xdr:from>
        <xdr:to>
          <xdr:col>6</xdr:col>
          <xdr:colOff>228600</xdr:colOff>
          <xdr:row>14</xdr:row>
          <xdr:rowOff>0</xdr:rowOff>
        </xdr:to>
        <xdr:sp macro="" textlink="">
          <xdr:nvSpPr>
            <xdr:cNvPr id="2070" name="Check Box 22" hidden="1">
              <a:extLst>
                <a:ext uri="{63B3BB69-23CF-44E3-9099-C40C66FF867C}">
                  <a14:compatExt spid="_x0000_s2070"/>
                </a:ext>
                <a:ext uri="{FF2B5EF4-FFF2-40B4-BE49-F238E27FC236}">
                  <a16:creationId xmlns:a16="http://schemas.microsoft.com/office/drawing/2014/main" id="{00000000-0008-0000-0A00-00001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14</xdr:row>
          <xdr:rowOff>31750</xdr:rowOff>
        </xdr:from>
        <xdr:to>
          <xdr:col>6</xdr:col>
          <xdr:colOff>241300</xdr:colOff>
          <xdr:row>15</xdr:row>
          <xdr:rowOff>0</xdr:rowOff>
        </xdr:to>
        <xdr:sp macro="" textlink="">
          <xdr:nvSpPr>
            <xdr:cNvPr id="2071" name="Check Box 23" hidden="1">
              <a:extLst>
                <a:ext uri="{63B3BB69-23CF-44E3-9099-C40C66FF867C}">
                  <a14:compatExt spid="_x0000_s2071"/>
                </a:ext>
                <a:ext uri="{FF2B5EF4-FFF2-40B4-BE49-F238E27FC236}">
                  <a16:creationId xmlns:a16="http://schemas.microsoft.com/office/drawing/2014/main" id="{00000000-0008-0000-0A00-00001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15</xdr:row>
          <xdr:rowOff>44450</xdr:rowOff>
        </xdr:from>
        <xdr:to>
          <xdr:col>6</xdr:col>
          <xdr:colOff>241300</xdr:colOff>
          <xdr:row>16</xdr:row>
          <xdr:rowOff>0</xdr:rowOff>
        </xdr:to>
        <xdr:sp macro="" textlink="">
          <xdr:nvSpPr>
            <xdr:cNvPr id="2072" name="Check Box 24" hidden="1">
              <a:extLst>
                <a:ext uri="{63B3BB69-23CF-44E3-9099-C40C66FF867C}">
                  <a14:compatExt spid="_x0000_s2072"/>
                </a:ext>
                <a:ext uri="{FF2B5EF4-FFF2-40B4-BE49-F238E27FC236}">
                  <a16:creationId xmlns:a16="http://schemas.microsoft.com/office/drawing/2014/main" id="{00000000-0008-0000-0A00-00001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16</xdr:row>
          <xdr:rowOff>38100</xdr:rowOff>
        </xdr:from>
        <xdr:to>
          <xdr:col>6</xdr:col>
          <xdr:colOff>228600</xdr:colOff>
          <xdr:row>17</xdr:row>
          <xdr:rowOff>0</xdr:rowOff>
        </xdr:to>
        <xdr:sp macro="" textlink="">
          <xdr:nvSpPr>
            <xdr:cNvPr id="2073" name="Check Box 25" hidden="1">
              <a:extLst>
                <a:ext uri="{63B3BB69-23CF-44E3-9099-C40C66FF867C}">
                  <a14:compatExt spid="_x0000_s2073"/>
                </a:ext>
                <a:ext uri="{FF2B5EF4-FFF2-40B4-BE49-F238E27FC236}">
                  <a16:creationId xmlns:a16="http://schemas.microsoft.com/office/drawing/2014/main" id="{00000000-0008-0000-0A00-00001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19050</xdr:rowOff>
        </xdr:from>
        <xdr:to>
          <xdr:col>6</xdr:col>
          <xdr:colOff>228600</xdr:colOff>
          <xdr:row>18</xdr:row>
          <xdr:rowOff>0</xdr:rowOff>
        </xdr:to>
        <xdr:sp macro="" textlink="">
          <xdr:nvSpPr>
            <xdr:cNvPr id="2074" name="Check Box 26" hidden="1">
              <a:extLst>
                <a:ext uri="{63B3BB69-23CF-44E3-9099-C40C66FF867C}">
                  <a14:compatExt spid="_x0000_s2074"/>
                </a:ext>
                <a:ext uri="{FF2B5EF4-FFF2-40B4-BE49-F238E27FC236}">
                  <a16:creationId xmlns:a16="http://schemas.microsoft.com/office/drawing/2014/main" id="{00000000-0008-0000-0A00-00001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18</xdr:row>
          <xdr:rowOff>25400</xdr:rowOff>
        </xdr:from>
        <xdr:to>
          <xdr:col>6</xdr:col>
          <xdr:colOff>228600</xdr:colOff>
          <xdr:row>19</xdr:row>
          <xdr:rowOff>0</xdr:rowOff>
        </xdr:to>
        <xdr:sp macro="" textlink="">
          <xdr:nvSpPr>
            <xdr:cNvPr id="2075" name="Check Box 27" hidden="1">
              <a:extLst>
                <a:ext uri="{63B3BB69-23CF-44E3-9099-C40C66FF867C}">
                  <a14:compatExt spid="_x0000_s2075"/>
                </a:ext>
                <a:ext uri="{FF2B5EF4-FFF2-40B4-BE49-F238E27FC236}">
                  <a16:creationId xmlns:a16="http://schemas.microsoft.com/office/drawing/2014/main" id="{00000000-0008-0000-0A00-00001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19</xdr:row>
          <xdr:rowOff>31750</xdr:rowOff>
        </xdr:from>
        <xdr:to>
          <xdr:col>6</xdr:col>
          <xdr:colOff>203200</xdr:colOff>
          <xdr:row>20</xdr:row>
          <xdr:rowOff>0</xdr:rowOff>
        </xdr:to>
        <xdr:sp macro="" textlink="">
          <xdr:nvSpPr>
            <xdr:cNvPr id="2076" name="Check Box 28" hidden="1">
              <a:extLst>
                <a:ext uri="{63B3BB69-23CF-44E3-9099-C40C66FF867C}">
                  <a14:compatExt spid="_x0000_s2076"/>
                </a:ext>
                <a:ext uri="{FF2B5EF4-FFF2-40B4-BE49-F238E27FC236}">
                  <a16:creationId xmlns:a16="http://schemas.microsoft.com/office/drawing/2014/main" id="{00000000-0008-0000-0A00-00001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31750</xdr:rowOff>
        </xdr:from>
        <xdr:to>
          <xdr:col>6</xdr:col>
          <xdr:colOff>228600</xdr:colOff>
          <xdr:row>21</xdr:row>
          <xdr:rowOff>0</xdr:rowOff>
        </xdr:to>
        <xdr:sp macro="" textlink="">
          <xdr:nvSpPr>
            <xdr:cNvPr id="2077" name="Check Box 29" hidden="1">
              <a:extLst>
                <a:ext uri="{63B3BB69-23CF-44E3-9099-C40C66FF867C}">
                  <a14:compatExt spid="_x0000_s2077"/>
                </a:ext>
                <a:ext uri="{FF2B5EF4-FFF2-40B4-BE49-F238E27FC236}">
                  <a16:creationId xmlns:a16="http://schemas.microsoft.com/office/drawing/2014/main" id="{00000000-0008-0000-0A00-00001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21</xdr:row>
          <xdr:rowOff>38100</xdr:rowOff>
        </xdr:from>
        <xdr:to>
          <xdr:col>6</xdr:col>
          <xdr:colOff>228600</xdr:colOff>
          <xdr:row>22</xdr:row>
          <xdr:rowOff>0</xdr:rowOff>
        </xdr:to>
        <xdr:sp macro="" textlink="">
          <xdr:nvSpPr>
            <xdr:cNvPr id="2078" name="Check Box 30" hidden="1">
              <a:extLst>
                <a:ext uri="{63B3BB69-23CF-44E3-9099-C40C66FF867C}">
                  <a14:compatExt spid="_x0000_s2078"/>
                </a:ext>
                <a:ext uri="{FF2B5EF4-FFF2-40B4-BE49-F238E27FC236}">
                  <a16:creationId xmlns:a16="http://schemas.microsoft.com/office/drawing/2014/main" id="{00000000-0008-0000-0A00-00001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22</xdr:row>
          <xdr:rowOff>31750</xdr:rowOff>
        </xdr:from>
        <xdr:to>
          <xdr:col>6</xdr:col>
          <xdr:colOff>228600</xdr:colOff>
          <xdr:row>23</xdr:row>
          <xdr:rowOff>0</xdr:rowOff>
        </xdr:to>
        <xdr:sp macro="" textlink="">
          <xdr:nvSpPr>
            <xdr:cNvPr id="2079" name="Check Box 31" hidden="1">
              <a:extLst>
                <a:ext uri="{63B3BB69-23CF-44E3-9099-C40C66FF867C}">
                  <a14:compatExt spid="_x0000_s2079"/>
                </a:ext>
                <a:ext uri="{FF2B5EF4-FFF2-40B4-BE49-F238E27FC236}">
                  <a16:creationId xmlns:a16="http://schemas.microsoft.com/office/drawing/2014/main" id="{00000000-0008-0000-0A00-00001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3219450</xdr:colOff>
          <xdr:row>26</xdr:row>
          <xdr:rowOff>25400</xdr:rowOff>
        </xdr:from>
        <xdr:to>
          <xdr:col>6</xdr:col>
          <xdr:colOff>241300</xdr:colOff>
          <xdr:row>27</xdr:row>
          <xdr:rowOff>0</xdr:rowOff>
        </xdr:to>
        <xdr:sp macro="" textlink="">
          <xdr:nvSpPr>
            <xdr:cNvPr id="2081" name="Check Box 33" hidden="1">
              <a:extLst>
                <a:ext uri="{63B3BB69-23CF-44E3-9099-C40C66FF867C}">
                  <a14:compatExt spid="_x0000_s2081"/>
                </a:ext>
                <a:ext uri="{FF2B5EF4-FFF2-40B4-BE49-F238E27FC236}">
                  <a16:creationId xmlns:a16="http://schemas.microsoft.com/office/drawing/2014/main" id="{00000000-0008-0000-0A00-00002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3219450</xdr:colOff>
          <xdr:row>27</xdr:row>
          <xdr:rowOff>101600</xdr:rowOff>
        </xdr:from>
        <xdr:to>
          <xdr:col>6</xdr:col>
          <xdr:colOff>241300</xdr:colOff>
          <xdr:row>28</xdr:row>
          <xdr:rowOff>0</xdr:rowOff>
        </xdr:to>
        <xdr:sp macro="" textlink="">
          <xdr:nvSpPr>
            <xdr:cNvPr id="2082" name="Check Box 34" hidden="1">
              <a:extLst>
                <a:ext uri="{63B3BB69-23CF-44E3-9099-C40C66FF867C}">
                  <a14:compatExt spid="_x0000_s2082"/>
                </a:ext>
                <a:ext uri="{FF2B5EF4-FFF2-40B4-BE49-F238E27FC236}">
                  <a16:creationId xmlns:a16="http://schemas.microsoft.com/office/drawing/2014/main" id="{00000000-0008-0000-0A00-00002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3219450</xdr:colOff>
          <xdr:row>28</xdr:row>
          <xdr:rowOff>107950</xdr:rowOff>
        </xdr:from>
        <xdr:to>
          <xdr:col>6</xdr:col>
          <xdr:colOff>241300</xdr:colOff>
          <xdr:row>29</xdr:row>
          <xdr:rowOff>0</xdr:rowOff>
        </xdr:to>
        <xdr:sp macro="" textlink="">
          <xdr:nvSpPr>
            <xdr:cNvPr id="2083" name="Check Box 35" hidden="1">
              <a:extLst>
                <a:ext uri="{63B3BB69-23CF-44E3-9099-C40C66FF867C}">
                  <a14:compatExt spid="_x0000_s2083"/>
                </a:ext>
                <a:ext uri="{FF2B5EF4-FFF2-40B4-BE49-F238E27FC236}">
                  <a16:creationId xmlns:a16="http://schemas.microsoft.com/office/drawing/2014/main" id="{00000000-0008-0000-0A00-00002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6350</xdr:colOff>
          <xdr:row>4</xdr:row>
          <xdr:rowOff>38100</xdr:rowOff>
        </xdr:from>
        <xdr:to>
          <xdr:col>16</xdr:col>
          <xdr:colOff>165100</xdr:colOff>
          <xdr:row>4</xdr:row>
          <xdr:rowOff>254000</xdr:rowOff>
        </xdr:to>
        <xdr:sp macro="" textlink="">
          <xdr:nvSpPr>
            <xdr:cNvPr id="2087" name="Check Box 39" hidden="1">
              <a:extLst>
                <a:ext uri="{63B3BB69-23CF-44E3-9099-C40C66FF867C}">
                  <a14:compatExt spid="_x0000_s2087"/>
                </a:ext>
                <a:ext uri="{FF2B5EF4-FFF2-40B4-BE49-F238E27FC236}">
                  <a16:creationId xmlns:a16="http://schemas.microsoft.com/office/drawing/2014/main" id="{00000000-0008-0000-0A00-00002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6350</xdr:colOff>
          <xdr:row>5</xdr:row>
          <xdr:rowOff>31750</xdr:rowOff>
        </xdr:from>
        <xdr:to>
          <xdr:col>16</xdr:col>
          <xdr:colOff>177800</xdr:colOff>
          <xdr:row>6</xdr:row>
          <xdr:rowOff>0</xdr:rowOff>
        </xdr:to>
        <xdr:sp macro="" textlink="">
          <xdr:nvSpPr>
            <xdr:cNvPr id="2089" name="Check Box 41" hidden="1">
              <a:extLst>
                <a:ext uri="{63B3BB69-23CF-44E3-9099-C40C66FF867C}">
                  <a14:compatExt spid="_x0000_s2089"/>
                </a:ext>
                <a:ext uri="{FF2B5EF4-FFF2-40B4-BE49-F238E27FC236}">
                  <a16:creationId xmlns:a16="http://schemas.microsoft.com/office/drawing/2014/main" id="{00000000-0008-0000-0A00-00002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6350</xdr:colOff>
          <xdr:row>6</xdr:row>
          <xdr:rowOff>25400</xdr:rowOff>
        </xdr:from>
        <xdr:to>
          <xdr:col>16</xdr:col>
          <xdr:colOff>165100</xdr:colOff>
          <xdr:row>6</xdr:row>
          <xdr:rowOff>254000</xdr:rowOff>
        </xdr:to>
        <xdr:sp macro="" textlink="">
          <xdr:nvSpPr>
            <xdr:cNvPr id="2090" name="Check Box 42" hidden="1">
              <a:extLst>
                <a:ext uri="{63B3BB69-23CF-44E3-9099-C40C66FF867C}">
                  <a14:compatExt spid="_x0000_s2090"/>
                </a:ext>
                <a:ext uri="{FF2B5EF4-FFF2-40B4-BE49-F238E27FC236}">
                  <a16:creationId xmlns:a16="http://schemas.microsoft.com/office/drawing/2014/main" id="{00000000-0008-0000-0A00-00002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6350</xdr:colOff>
          <xdr:row>7</xdr:row>
          <xdr:rowOff>25400</xdr:rowOff>
        </xdr:from>
        <xdr:to>
          <xdr:col>16</xdr:col>
          <xdr:colOff>165100</xdr:colOff>
          <xdr:row>7</xdr:row>
          <xdr:rowOff>254000</xdr:rowOff>
        </xdr:to>
        <xdr:sp macro="" textlink="">
          <xdr:nvSpPr>
            <xdr:cNvPr id="2091" name="Check Box 43" hidden="1">
              <a:extLst>
                <a:ext uri="{63B3BB69-23CF-44E3-9099-C40C66FF867C}">
                  <a14:compatExt spid="_x0000_s2091"/>
                </a:ext>
                <a:ext uri="{FF2B5EF4-FFF2-40B4-BE49-F238E27FC236}">
                  <a16:creationId xmlns:a16="http://schemas.microsoft.com/office/drawing/2014/main" id="{00000000-0008-0000-0A00-00002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xdr:row>
          <xdr:rowOff>25400</xdr:rowOff>
        </xdr:from>
        <xdr:to>
          <xdr:col>16</xdr:col>
          <xdr:colOff>165100</xdr:colOff>
          <xdr:row>9</xdr:row>
          <xdr:rowOff>577</xdr:rowOff>
        </xdr:to>
        <xdr:sp macro="" textlink="">
          <xdr:nvSpPr>
            <xdr:cNvPr id="2092" name="Check Box 44" hidden="1">
              <a:extLst>
                <a:ext uri="{63B3BB69-23CF-44E3-9099-C40C66FF867C}">
                  <a14:compatExt spid="_x0000_s2092"/>
                </a:ext>
                <a:ext uri="{FF2B5EF4-FFF2-40B4-BE49-F238E27FC236}">
                  <a16:creationId xmlns:a16="http://schemas.microsoft.com/office/drawing/2014/main" id="{00000000-0008-0000-0A00-00002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6350</xdr:colOff>
          <xdr:row>9</xdr:row>
          <xdr:rowOff>25400</xdr:rowOff>
        </xdr:from>
        <xdr:to>
          <xdr:col>16</xdr:col>
          <xdr:colOff>165100</xdr:colOff>
          <xdr:row>9</xdr:row>
          <xdr:rowOff>254000</xdr:rowOff>
        </xdr:to>
        <xdr:sp macro="" textlink="">
          <xdr:nvSpPr>
            <xdr:cNvPr id="2093" name="Check Box 45" hidden="1">
              <a:extLst>
                <a:ext uri="{63B3BB69-23CF-44E3-9099-C40C66FF867C}">
                  <a14:compatExt spid="_x0000_s2093"/>
                </a:ext>
                <a:ext uri="{FF2B5EF4-FFF2-40B4-BE49-F238E27FC236}">
                  <a16:creationId xmlns:a16="http://schemas.microsoft.com/office/drawing/2014/main" id="{00000000-0008-0000-0A00-00002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6350</xdr:colOff>
          <xdr:row>10</xdr:row>
          <xdr:rowOff>19050</xdr:rowOff>
        </xdr:from>
        <xdr:to>
          <xdr:col>16</xdr:col>
          <xdr:colOff>165100</xdr:colOff>
          <xdr:row>10</xdr:row>
          <xdr:rowOff>241300</xdr:rowOff>
        </xdr:to>
        <xdr:sp macro="" textlink="">
          <xdr:nvSpPr>
            <xdr:cNvPr id="2094" name="Check Box 46" hidden="1">
              <a:extLst>
                <a:ext uri="{63B3BB69-23CF-44E3-9099-C40C66FF867C}">
                  <a14:compatExt spid="_x0000_s2094"/>
                </a:ext>
                <a:ext uri="{FF2B5EF4-FFF2-40B4-BE49-F238E27FC236}">
                  <a16:creationId xmlns:a16="http://schemas.microsoft.com/office/drawing/2014/main" id="{00000000-0008-0000-0A00-00002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xdr:row>
          <xdr:rowOff>12700</xdr:rowOff>
        </xdr:from>
        <xdr:to>
          <xdr:col>16</xdr:col>
          <xdr:colOff>165100</xdr:colOff>
          <xdr:row>11</xdr:row>
          <xdr:rowOff>241300</xdr:rowOff>
        </xdr:to>
        <xdr:sp macro="" textlink="">
          <xdr:nvSpPr>
            <xdr:cNvPr id="2095" name="Check Box 47" hidden="1">
              <a:extLst>
                <a:ext uri="{63B3BB69-23CF-44E3-9099-C40C66FF867C}">
                  <a14:compatExt spid="_x0000_s2095"/>
                </a:ext>
                <a:ext uri="{FF2B5EF4-FFF2-40B4-BE49-F238E27FC236}">
                  <a16:creationId xmlns:a16="http://schemas.microsoft.com/office/drawing/2014/main" id="{00000000-0008-0000-0A00-00002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12</xdr:row>
          <xdr:rowOff>12700</xdr:rowOff>
        </xdr:from>
        <xdr:to>
          <xdr:col>16</xdr:col>
          <xdr:colOff>165100</xdr:colOff>
          <xdr:row>12</xdr:row>
          <xdr:rowOff>241300</xdr:rowOff>
        </xdr:to>
        <xdr:sp macro="" textlink="">
          <xdr:nvSpPr>
            <xdr:cNvPr id="2096" name="Check Box 48" hidden="1">
              <a:extLst>
                <a:ext uri="{63B3BB69-23CF-44E3-9099-C40C66FF867C}">
                  <a14:compatExt spid="_x0000_s2096"/>
                </a:ext>
                <a:ext uri="{FF2B5EF4-FFF2-40B4-BE49-F238E27FC236}">
                  <a16:creationId xmlns:a16="http://schemas.microsoft.com/office/drawing/2014/main" id="{00000000-0008-0000-0A00-00003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6350</xdr:colOff>
          <xdr:row>13</xdr:row>
          <xdr:rowOff>12700</xdr:rowOff>
        </xdr:from>
        <xdr:to>
          <xdr:col>16</xdr:col>
          <xdr:colOff>165100</xdr:colOff>
          <xdr:row>13</xdr:row>
          <xdr:rowOff>228600</xdr:rowOff>
        </xdr:to>
        <xdr:sp macro="" textlink="">
          <xdr:nvSpPr>
            <xdr:cNvPr id="2097" name="Check Box 49" hidden="1">
              <a:extLst>
                <a:ext uri="{63B3BB69-23CF-44E3-9099-C40C66FF867C}">
                  <a14:compatExt spid="_x0000_s2097"/>
                </a:ext>
                <a:ext uri="{FF2B5EF4-FFF2-40B4-BE49-F238E27FC236}">
                  <a16:creationId xmlns:a16="http://schemas.microsoft.com/office/drawing/2014/main" id="{00000000-0008-0000-0A00-00003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14</xdr:row>
          <xdr:rowOff>6350</xdr:rowOff>
        </xdr:from>
        <xdr:to>
          <xdr:col>16</xdr:col>
          <xdr:colOff>165100</xdr:colOff>
          <xdr:row>14</xdr:row>
          <xdr:rowOff>228600</xdr:rowOff>
        </xdr:to>
        <xdr:sp macro="" textlink="">
          <xdr:nvSpPr>
            <xdr:cNvPr id="2098" name="Check Box 50" hidden="1">
              <a:extLst>
                <a:ext uri="{63B3BB69-23CF-44E3-9099-C40C66FF867C}">
                  <a14:compatExt spid="_x0000_s2098"/>
                </a:ext>
                <a:ext uri="{FF2B5EF4-FFF2-40B4-BE49-F238E27FC236}">
                  <a16:creationId xmlns:a16="http://schemas.microsoft.com/office/drawing/2014/main" id="{00000000-0008-0000-0A00-00003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6350</xdr:colOff>
          <xdr:row>15</xdr:row>
          <xdr:rowOff>6350</xdr:rowOff>
        </xdr:from>
        <xdr:to>
          <xdr:col>16</xdr:col>
          <xdr:colOff>165100</xdr:colOff>
          <xdr:row>15</xdr:row>
          <xdr:rowOff>228600</xdr:rowOff>
        </xdr:to>
        <xdr:sp macro="" textlink="">
          <xdr:nvSpPr>
            <xdr:cNvPr id="2099" name="Check Box 51" hidden="1">
              <a:extLst>
                <a:ext uri="{63B3BB69-23CF-44E3-9099-C40C66FF867C}">
                  <a14:compatExt spid="_x0000_s2099"/>
                </a:ext>
                <a:ext uri="{FF2B5EF4-FFF2-40B4-BE49-F238E27FC236}">
                  <a16:creationId xmlns:a16="http://schemas.microsoft.com/office/drawing/2014/main" id="{00000000-0008-0000-0A00-00003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6350</xdr:colOff>
          <xdr:row>16</xdr:row>
          <xdr:rowOff>6350</xdr:rowOff>
        </xdr:from>
        <xdr:to>
          <xdr:col>16</xdr:col>
          <xdr:colOff>165100</xdr:colOff>
          <xdr:row>16</xdr:row>
          <xdr:rowOff>241300</xdr:rowOff>
        </xdr:to>
        <xdr:sp macro="" textlink="">
          <xdr:nvSpPr>
            <xdr:cNvPr id="2100" name="Check Box 52" hidden="1">
              <a:extLst>
                <a:ext uri="{63B3BB69-23CF-44E3-9099-C40C66FF867C}">
                  <a14:compatExt spid="_x0000_s2100"/>
                </a:ext>
                <a:ext uri="{FF2B5EF4-FFF2-40B4-BE49-F238E27FC236}">
                  <a16:creationId xmlns:a16="http://schemas.microsoft.com/office/drawing/2014/main" id="{00000000-0008-0000-0A00-00003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6350</xdr:colOff>
          <xdr:row>17</xdr:row>
          <xdr:rowOff>12700</xdr:rowOff>
        </xdr:from>
        <xdr:to>
          <xdr:col>16</xdr:col>
          <xdr:colOff>165100</xdr:colOff>
          <xdr:row>17</xdr:row>
          <xdr:rowOff>241300</xdr:rowOff>
        </xdr:to>
        <xdr:sp macro="" textlink="">
          <xdr:nvSpPr>
            <xdr:cNvPr id="2101" name="Check Box 53" hidden="1">
              <a:extLst>
                <a:ext uri="{63B3BB69-23CF-44E3-9099-C40C66FF867C}">
                  <a14:compatExt spid="_x0000_s2101"/>
                </a:ext>
                <a:ext uri="{FF2B5EF4-FFF2-40B4-BE49-F238E27FC236}">
                  <a16:creationId xmlns:a16="http://schemas.microsoft.com/office/drawing/2014/main" id="{00000000-0008-0000-0A00-00003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6350</xdr:colOff>
          <xdr:row>18</xdr:row>
          <xdr:rowOff>12700</xdr:rowOff>
        </xdr:from>
        <xdr:to>
          <xdr:col>16</xdr:col>
          <xdr:colOff>165100</xdr:colOff>
          <xdr:row>18</xdr:row>
          <xdr:rowOff>241300</xdr:rowOff>
        </xdr:to>
        <xdr:sp macro="" textlink="">
          <xdr:nvSpPr>
            <xdr:cNvPr id="2102" name="Check Box 54" hidden="1">
              <a:extLst>
                <a:ext uri="{63B3BB69-23CF-44E3-9099-C40C66FF867C}">
                  <a14:compatExt spid="_x0000_s2102"/>
                </a:ext>
                <a:ext uri="{FF2B5EF4-FFF2-40B4-BE49-F238E27FC236}">
                  <a16:creationId xmlns:a16="http://schemas.microsoft.com/office/drawing/2014/main" id="{00000000-0008-0000-0A00-00003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6350</xdr:colOff>
          <xdr:row>19</xdr:row>
          <xdr:rowOff>19050</xdr:rowOff>
        </xdr:from>
        <xdr:to>
          <xdr:col>16</xdr:col>
          <xdr:colOff>165100</xdr:colOff>
          <xdr:row>19</xdr:row>
          <xdr:rowOff>254000</xdr:rowOff>
        </xdr:to>
        <xdr:sp macro="" textlink="">
          <xdr:nvSpPr>
            <xdr:cNvPr id="2103" name="Check Box 55" hidden="1">
              <a:extLst>
                <a:ext uri="{63B3BB69-23CF-44E3-9099-C40C66FF867C}">
                  <a14:compatExt spid="_x0000_s2103"/>
                </a:ext>
                <a:ext uri="{FF2B5EF4-FFF2-40B4-BE49-F238E27FC236}">
                  <a16:creationId xmlns:a16="http://schemas.microsoft.com/office/drawing/2014/main" id="{00000000-0008-0000-0A00-00003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6350</xdr:colOff>
          <xdr:row>20</xdr:row>
          <xdr:rowOff>25400</xdr:rowOff>
        </xdr:from>
        <xdr:to>
          <xdr:col>16</xdr:col>
          <xdr:colOff>165100</xdr:colOff>
          <xdr:row>20</xdr:row>
          <xdr:rowOff>254000</xdr:rowOff>
        </xdr:to>
        <xdr:sp macro="" textlink="">
          <xdr:nvSpPr>
            <xdr:cNvPr id="2104" name="Check Box 56" hidden="1">
              <a:extLst>
                <a:ext uri="{63B3BB69-23CF-44E3-9099-C40C66FF867C}">
                  <a14:compatExt spid="_x0000_s2104"/>
                </a:ext>
                <a:ext uri="{FF2B5EF4-FFF2-40B4-BE49-F238E27FC236}">
                  <a16:creationId xmlns:a16="http://schemas.microsoft.com/office/drawing/2014/main" id="{00000000-0008-0000-0A00-00003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6350</xdr:colOff>
          <xdr:row>21</xdr:row>
          <xdr:rowOff>25400</xdr:rowOff>
        </xdr:from>
        <xdr:to>
          <xdr:col>16</xdr:col>
          <xdr:colOff>165100</xdr:colOff>
          <xdr:row>21</xdr:row>
          <xdr:rowOff>254000</xdr:rowOff>
        </xdr:to>
        <xdr:sp macro="" textlink="">
          <xdr:nvSpPr>
            <xdr:cNvPr id="2105" name="Check Box 57" hidden="1">
              <a:extLst>
                <a:ext uri="{63B3BB69-23CF-44E3-9099-C40C66FF867C}">
                  <a14:compatExt spid="_x0000_s2105"/>
                </a:ext>
                <a:ext uri="{FF2B5EF4-FFF2-40B4-BE49-F238E27FC236}">
                  <a16:creationId xmlns:a16="http://schemas.microsoft.com/office/drawing/2014/main" id="{00000000-0008-0000-0A00-00003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38</xdr:row>
          <xdr:rowOff>101600</xdr:rowOff>
        </xdr:from>
        <xdr:to>
          <xdr:col>16</xdr:col>
          <xdr:colOff>165100</xdr:colOff>
          <xdr:row>38</xdr:row>
          <xdr:rowOff>323850</xdr:rowOff>
        </xdr:to>
        <xdr:sp macro="" textlink="">
          <xdr:nvSpPr>
            <xdr:cNvPr id="2116" name="Check Box 68" hidden="1">
              <a:extLst>
                <a:ext uri="{63B3BB69-23CF-44E3-9099-C40C66FF867C}">
                  <a14:compatExt spid="_x0000_s2116"/>
                </a:ext>
                <a:ext uri="{FF2B5EF4-FFF2-40B4-BE49-F238E27FC236}">
                  <a16:creationId xmlns:a16="http://schemas.microsoft.com/office/drawing/2014/main" id="{00000000-0008-0000-0A00-00004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39</xdr:row>
          <xdr:rowOff>95250</xdr:rowOff>
        </xdr:from>
        <xdr:to>
          <xdr:col>16</xdr:col>
          <xdr:colOff>177800</xdr:colOff>
          <xdr:row>40</xdr:row>
          <xdr:rowOff>0</xdr:rowOff>
        </xdr:to>
        <xdr:sp macro="" textlink="">
          <xdr:nvSpPr>
            <xdr:cNvPr id="2117" name="Check Box 69" hidden="1">
              <a:extLst>
                <a:ext uri="{63B3BB69-23CF-44E3-9099-C40C66FF867C}">
                  <a14:compatExt spid="_x0000_s2117"/>
                </a:ext>
                <a:ext uri="{FF2B5EF4-FFF2-40B4-BE49-F238E27FC236}">
                  <a16:creationId xmlns:a16="http://schemas.microsoft.com/office/drawing/2014/main" id="{00000000-0008-0000-0A00-00004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3403600</xdr:colOff>
          <xdr:row>24</xdr:row>
          <xdr:rowOff>50800</xdr:rowOff>
        </xdr:from>
        <xdr:to>
          <xdr:col>16</xdr:col>
          <xdr:colOff>146050</xdr:colOff>
          <xdr:row>25</xdr:row>
          <xdr:rowOff>0</xdr:rowOff>
        </xdr:to>
        <xdr:sp macro="" textlink="">
          <xdr:nvSpPr>
            <xdr:cNvPr id="2119" name="Check Box 71" hidden="1">
              <a:extLst>
                <a:ext uri="{63B3BB69-23CF-44E3-9099-C40C66FF867C}">
                  <a14:compatExt spid="_x0000_s2119"/>
                </a:ext>
                <a:ext uri="{FF2B5EF4-FFF2-40B4-BE49-F238E27FC236}">
                  <a16:creationId xmlns:a16="http://schemas.microsoft.com/office/drawing/2014/main" id="{00000000-0008-0000-0A00-00004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3403600</xdr:colOff>
          <xdr:row>25</xdr:row>
          <xdr:rowOff>57150</xdr:rowOff>
        </xdr:from>
        <xdr:to>
          <xdr:col>16</xdr:col>
          <xdr:colOff>158750</xdr:colOff>
          <xdr:row>26</xdr:row>
          <xdr:rowOff>0</xdr:rowOff>
        </xdr:to>
        <xdr:sp macro="" textlink="">
          <xdr:nvSpPr>
            <xdr:cNvPr id="2120" name="Check Box 72" hidden="1">
              <a:extLst>
                <a:ext uri="{63B3BB69-23CF-44E3-9099-C40C66FF867C}">
                  <a14:compatExt spid="_x0000_s2120"/>
                </a:ext>
                <a:ext uri="{FF2B5EF4-FFF2-40B4-BE49-F238E27FC236}">
                  <a16:creationId xmlns:a16="http://schemas.microsoft.com/office/drawing/2014/main" id="{00000000-0008-0000-0A00-00004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3403600</xdr:colOff>
          <xdr:row>26</xdr:row>
          <xdr:rowOff>50800</xdr:rowOff>
        </xdr:from>
        <xdr:to>
          <xdr:col>16</xdr:col>
          <xdr:colOff>158750</xdr:colOff>
          <xdr:row>27</xdr:row>
          <xdr:rowOff>0</xdr:rowOff>
        </xdr:to>
        <xdr:sp macro="" textlink="">
          <xdr:nvSpPr>
            <xdr:cNvPr id="2121" name="Check Box 73" hidden="1">
              <a:extLst>
                <a:ext uri="{63B3BB69-23CF-44E3-9099-C40C66FF867C}">
                  <a14:compatExt spid="_x0000_s2121"/>
                </a:ext>
                <a:ext uri="{FF2B5EF4-FFF2-40B4-BE49-F238E27FC236}">
                  <a16:creationId xmlns:a16="http://schemas.microsoft.com/office/drawing/2014/main" id="{00000000-0008-0000-0A00-00004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3403600</xdr:colOff>
          <xdr:row>27</xdr:row>
          <xdr:rowOff>114300</xdr:rowOff>
        </xdr:from>
        <xdr:to>
          <xdr:col>16</xdr:col>
          <xdr:colOff>158750</xdr:colOff>
          <xdr:row>28</xdr:row>
          <xdr:rowOff>0</xdr:rowOff>
        </xdr:to>
        <xdr:sp macro="" textlink="">
          <xdr:nvSpPr>
            <xdr:cNvPr id="2122" name="Check Box 74" hidden="1">
              <a:extLst>
                <a:ext uri="{63B3BB69-23CF-44E3-9099-C40C66FF867C}">
                  <a14:compatExt spid="_x0000_s2122"/>
                </a:ext>
                <a:ext uri="{FF2B5EF4-FFF2-40B4-BE49-F238E27FC236}">
                  <a16:creationId xmlns:a16="http://schemas.microsoft.com/office/drawing/2014/main" id="{00000000-0008-0000-0A00-00004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3403600</xdr:colOff>
          <xdr:row>28</xdr:row>
          <xdr:rowOff>114300</xdr:rowOff>
        </xdr:from>
        <xdr:to>
          <xdr:col>16</xdr:col>
          <xdr:colOff>158750</xdr:colOff>
          <xdr:row>29</xdr:row>
          <xdr:rowOff>0</xdr:rowOff>
        </xdr:to>
        <xdr:sp macro="" textlink="">
          <xdr:nvSpPr>
            <xdr:cNvPr id="2123" name="Check Box 75" hidden="1">
              <a:extLst>
                <a:ext uri="{63B3BB69-23CF-44E3-9099-C40C66FF867C}">
                  <a14:compatExt spid="_x0000_s2123"/>
                </a:ext>
                <a:ext uri="{FF2B5EF4-FFF2-40B4-BE49-F238E27FC236}">
                  <a16:creationId xmlns:a16="http://schemas.microsoft.com/office/drawing/2014/main" id="{00000000-0008-0000-0A00-00004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3403600</xdr:colOff>
          <xdr:row>29</xdr:row>
          <xdr:rowOff>76200</xdr:rowOff>
        </xdr:from>
        <xdr:to>
          <xdr:col>16</xdr:col>
          <xdr:colOff>158750</xdr:colOff>
          <xdr:row>29</xdr:row>
          <xdr:rowOff>285750</xdr:rowOff>
        </xdr:to>
        <xdr:sp macro="" textlink="">
          <xdr:nvSpPr>
            <xdr:cNvPr id="2124" name="Check Box 76" hidden="1">
              <a:extLst>
                <a:ext uri="{63B3BB69-23CF-44E3-9099-C40C66FF867C}">
                  <a14:compatExt spid="_x0000_s2124"/>
                </a:ext>
                <a:ext uri="{FF2B5EF4-FFF2-40B4-BE49-F238E27FC236}">
                  <a16:creationId xmlns:a16="http://schemas.microsoft.com/office/drawing/2014/main" id="{00000000-0008-0000-0A00-00004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3403600</xdr:colOff>
          <xdr:row>30</xdr:row>
          <xdr:rowOff>95250</xdr:rowOff>
        </xdr:from>
        <xdr:to>
          <xdr:col>16</xdr:col>
          <xdr:colOff>158750</xdr:colOff>
          <xdr:row>30</xdr:row>
          <xdr:rowOff>311150</xdr:rowOff>
        </xdr:to>
        <xdr:sp macro="" textlink="">
          <xdr:nvSpPr>
            <xdr:cNvPr id="2125" name="Check Box 77" hidden="1">
              <a:extLst>
                <a:ext uri="{63B3BB69-23CF-44E3-9099-C40C66FF867C}">
                  <a14:compatExt spid="_x0000_s2125"/>
                </a:ext>
                <a:ext uri="{FF2B5EF4-FFF2-40B4-BE49-F238E27FC236}">
                  <a16:creationId xmlns:a16="http://schemas.microsoft.com/office/drawing/2014/main" id="{00000000-0008-0000-0A00-00004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3403600</xdr:colOff>
          <xdr:row>31</xdr:row>
          <xdr:rowOff>107950</xdr:rowOff>
        </xdr:from>
        <xdr:to>
          <xdr:col>16</xdr:col>
          <xdr:colOff>146050</xdr:colOff>
          <xdr:row>32</xdr:row>
          <xdr:rowOff>0</xdr:rowOff>
        </xdr:to>
        <xdr:sp macro="" textlink="">
          <xdr:nvSpPr>
            <xdr:cNvPr id="2126" name="Check Box 78" hidden="1">
              <a:extLst>
                <a:ext uri="{63B3BB69-23CF-44E3-9099-C40C66FF867C}">
                  <a14:compatExt spid="_x0000_s2126"/>
                </a:ext>
                <a:ext uri="{FF2B5EF4-FFF2-40B4-BE49-F238E27FC236}">
                  <a16:creationId xmlns:a16="http://schemas.microsoft.com/office/drawing/2014/main" id="{00000000-0008-0000-0A00-00004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3403600</xdr:colOff>
          <xdr:row>32</xdr:row>
          <xdr:rowOff>44450</xdr:rowOff>
        </xdr:from>
        <xdr:to>
          <xdr:col>16</xdr:col>
          <xdr:colOff>146050</xdr:colOff>
          <xdr:row>33</xdr:row>
          <xdr:rowOff>0</xdr:rowOff>
        </xdr:to>
        <xdr:sp macro="" textlink="">
          <xdr:nvSpPr>
            <xdr:cNvPr id="2127" name="Check Box 79" hidden="1">
              <a:extLst>
                <a:ext uri="{63B3BB69-23CF-44E3-9099-C40C66FF867C}">
                  <a14:compatExt spid="_x0000_s2127"/>
                </a:ext>
                <a:ext uri="{FF2B5EF4-FFF2-40B4-BE49-F238E27FC236}">
                  <a16:creationId xmlns:a16="http://schemas.microsoft.com/office/drawing/2014/main" id="{00000000-0008-0000-0A00-00004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3403600</xdr:colOff>
          <xdr:row>33</xdr:row>
          <xdr:rowOff>76200</xdr:rowOff>
        </xdr:from>
        <xdr:to>
          <xdr:col>16</xdr:col>
          <xdr:colOff>165100</xdr:colOff>
          <xdr:row>34</xdr:row>
          <xdr:rowOff>0</xdr:rowOff>
        </xdr:to>
        <xdr:sp macro="" textlink="">
          <xdr:nvSpPr>
            <xdr:cNvPr id="2128" name="Check Box 80" hidden="1">
              <a:extLst>
                <a:ext uri="{63B3BB69-23CF-44E3-9099-C40C66FF867C}">
                  <a14:compatExt spid="_x0000_s2128"/>
                </a:ext>
                <a:ext uri="{FF2B5EF4-FFF2-40B4-BE49-F238E27FC236}">
                  <a16:creationId xmlns:a16="http://schemas.microsoft.com/office/drawing/2014/main" id="{00000000-0008-0000-0A00-00005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3403600</xdr:colOff>
          <xdr:row>34</xdr:row>
          <xdr:rowOff>95250</xdr:rowOff>
        </xdr:from>
        <xdr:to>
          <xdr:col>16</xdr:col>
          <xdr:colOff>158750</xdr:colOff>
          <xdr:row>34</xdr:row>
          <xdr:rowOff>323850</xdr:rowOff>
        </xdr:to>
        <xdr:sp macro="" textlink="">
          <xdr:nvSpPr>
            <xdr:cNvPr id="2129" name="Check Box 81" hidden="1">
              <a:extLst>
                <a:ext uri="{63B3BB69-23CF-44E3-9099-C40C66FF867C}">
                  <a14:compatExt spid="_x0000_s2129"/>
                </a:ext>
                <a:ext uri="{FF2B5EF4-FFF2-40B4-BE49-F238E27FC236}">
                  <a16:creationId xmlns:a16="http://schemas.microsoft.com/office/drawing/2014/main" id="{00000000-0008-0000-0A00-00005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3403600</xdr:colOff>
          <xdr:row>35</xdr:row>
          <xdr:rowOff>50800</xdr:rowOff>
        </xdr:from>
        <xdr:to>
          <xdr:col>16</xdr:col>
          <xdr:colOff>158750</xdr:colOff>
          <xdr:row>35</xdr:row>
          <xdr:rowOff>273050</xdr:rowOff>
        </xdr:to>
        <xdr:sp macro="" textlink="">
          <xdr:nvSpPr>
            <xdr:cNvPr id="2130" name="Check Box 82" hidden="1">
              <a:extLst>
                <a:ext uri="{63B3BB69-23CF-44E3-9099-C40C66FF867C}">
                  <a14:compatExt spid="_x0000_s2130"/>
                </a:ext>
                <a:ext uri="{FF2B5EF4-FFF2-40B4-BE49-F238E27FC236}">
                  <a16:creationId xmlns:a16="http://schemas.microsoft.com/office/drawing/2014/main" id="{00000000-0008-0000-0A00-00005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105833</xdr:colOff>
          <xdr:row>17</xdr:row>
          <xdr:rowOff>249997</xdr:rowOff>
        </xdr:from>
        <xdr:to>
          <xdr:col>29</xdr:col>
          <xdr:colOff>130291</xdr:colOff>
          <xdr:row>21</xdr:row>
          <xdr:rowOff>0</xdr:rowOff>
        </xdr:to>
        <xdr:sp macro="" textlink="">
          <xdr:nvSpPr>
            <xdr:cNvPr id="2136" name="Button 88" hidden="1">
              <a:extLst>
                <a:ext uri="{63B3BB69-23CF-44E3-9099-C40C66FF867C}">
                  <a14:compatExt spid="_x0000_s2136"/>
                </a:ext>
                <a:ext uri="{FF2B5EF4-FFF2-40B4-BE49-F238E27FC236}">
                  <a16:creationId xmlns:a16="http://schemas.microsoft.com/office/drawing/2014/main" id="{00000000-0008-0000-0A00-00005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2000" b="0" i="0" u="none" strike="noStrike" baseline="0">
                  <a:solidFill>
                    <a:srgbClr val="000000"/>
                  </a:solidFill>
                  <a:latin typeface="Calibri"/>
                  <a:cs typeface="Calibri"/>
                </a:rPr>
                <a:t>Calculate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18</xdr:row>
          <xdr:rowOff>0</xdr:rowOff>
        </xdr:from>
        <xdr:to>
          <xdr:col>19</xdr:col>
          <xdr:colOff>2482850</xdr:colOff>
          <xdr:row>21</xdr:row>
          <xdr:rowOff>0</xdr:rowOff>
        </xdr:to>
        <xdr:sp macro="" textlink="">
          <xdr:nvSpPr>
            <xdr:cNvPr id="2138" name="Button 90" hidden="1">
              <a:extLst>
                <a:ext uri="{63B3BB69-23CF-44E3-9099-C40C66FF867C}">
                  <a14:compatExt spid="_x0000_s2138"/>
                </a:ext>
                <a:ext uri="{FF2B5EF4-FFF2-40B4-BE49-F238E27FC236}">
                  <a16:creationId xmlns:a16="http://schemas.microsoft.com/office/drawing/2014/main" id="{00000000-0008-0000-0A00-00005A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Z" sz="2000" b="0" i="0" u="none" strike="noStrike" baseline="0">
                  <a:solidFill>
                    <a:srgbClr val="000000"/>
                  </a:solidFill>
                  <a:latin typeface="Calibri"/>
                  <a:cs typeface="Calibri"/>
                </a:rPr>
                <a:t>Reset form</a:t>
              </a:r>
            </a:p>
          </xdr:txBody>
        </xdr:sp>
        <xdr:clientData fPrintsWithSheet="0"/>
      </xdr:twoCellAnchor>
    </mc:Choice>
    <mc:Fallback/>
  </mc:AlternateContent>
  <xdr:twoCellAnchor>
    <xdr:from>
      <xdr:col>30</xdr:col>
      <xdr:colOff>5510</xdr:colOff>
      <xdr:row>37</xdr:row>
      <xdr:rowOff>277090</xdr:rowOff>
    </xdr:from>
    <xdr:to>
      <xdr:col>32</xdr:col>
      <xdr:colOff>23091</xdr:colOff>
      <xdr:row>51</xdr:row>
      <xdr:rowOff>311727</xdr:rowOff>
    </xdr:to>
    <xdr:graphicFrame macro="">
      <xdr:nvGraphicFramePr>
        <xdr:cNvPr id="5" name="Chart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Jasmin Chiu" id="{1B94FF52-5022-4EE0-8F6A-82F0B04ED37D}" userId="Jasmin Chiu" providerId="Non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A0BD5F6-BF92-4028-99B4-D21799D883CC}" name="MeatT" displayName="MeatT" ref="A1:K27" totalsRowShown="0" headerRowDxfId="228" dataDxfId="227">
  <autoFilter ref="A1:K27" xr:uid="{BA0BD5F6-BF92-4028-99B4-D21799D883CC}"/>
  <sortState xmlns:xlrd2="http://schemas.microsoft.com/office/spreadsheetml/2017/richdata2" ref="A2:K23">
    <sortCondition ref="A1:A23"/>
  </sortState>
  <tableColumns count="11">
    <tableColumn id="1" xr3:uid="{92BCB764-58A0-4ABF-A8B4-8AD9B465B85E}" name="Meat (6-inch / Wrap)" dataDxfId="226"/>
    <tableColumn id="2" xr3:uid="{BC7B6101-4169-4F7F-BCFA-33FF99B5DFD4}" name="Serving Size (g)" dataDxfId="225">
      <calculatedColumnFormula array="1">VLOOKUP(MeatT[[#This Row],[Meat (6-inch / Wrap)]:[Meat (6-inch / Wrap)]], 'Cleaned sheet 1'!$A$1:$K$46, 2, FALSE) - $B$44</calculatedColumnFormula>
    </tableColumn>
    <tableColumn id="3" xr3:uid="{F728A40A-E82E-4CF8-A86C-EB47ED013AE4}" name="Energy (kJ)" dataDxfId="224">
      <calculatedColumnFormula array="1">VLOOKUP(MeatT[[#This Row],[Meat (6-inch / Wrap)]:[Meat (6-inch / Wrap)]], 'Cleaned sheet 1'!$A$1:$K$46, 3, FALSE) - $C$44</calculatedColumnFormula>
    </tableColumn>
    <tableColumn id="4" xr3:uid="{FEEF10EF-8BBF-4000-8E2E-35DF64784EDF}" name="Energy (kcal)" dataDxfId="223">
      <calculatedColumnFormula array="1">VLOOKUP(MeatT[[#This Row],[Meat (6-inch / Wrap)]:[Meat (6-inch / Wrap)]], 'Cleaned sheet 1'!$A$1:$K$46, 4, FALSE) - $D$44</calculatedColumnFormula>
    </tableColumn>
    <tableColumn id="5" xr3:uid="{D327E18F-6E5A-40E9-BC67-81B7F7AA7A5E}" name="Protein (g)" dataDxfId="222">
      <calculatedColumnFormula array="1">VLOOKUP(MeatT[[#This Row],[Meat (6-inch / Wrap)]:[Meat (6-inch / Wrap)]], 'Cleaned sheet 1'!$A$1:$K$46, 5, FALSE) - $E$44</calculatedColumnFormula>
    </tableColumn>
    <tableColumn id="6" xr3:uid="{6FE82A4B-0E30-404A-8D2D-E6A5E5A8D04C}" name="Fat, Total (g)" dataDxfId="221">
      <calculatedColumnFormula array="1">VLOOKUP(MeatT[[#This Row],[Meat (6-inch / Wrap)]:[Meat (6-inch / Wrap)]], 'Cleaned sheet 1'!$A$1:$K$46, 6, FALSE) - $F$44</calculatedColumnFormula>
    </tableColumn>
    <tableColumn id="7" xr3:uid="{81DB135E-D038-472E-B704-4A1C5072181B}" name="Sat. Fat (g)" dataDxfId="220">
      <calculatedColumnFormula array="1">VLOOKUP(MeatT[[#This Row],[Meat (6-inch / Wrap)]:[Meat (6-inch / Wrap)]], 'Cleaned sheet 1'!$A$1:$K$46, 7, FALSE) - $G$44</calculatedColumnFormula>
    </tableColumn>
    <tableColumn id="8" xr3:uid="{25709E40-7336-4C9A-BBEC-B517B33BC7CD}" name="Carbohydrates (g)" dataDxfId="219">
      <calculatedColumnFormula array="1">VLOOKUP(MeatT[[#This Row],[Meat (6-inch / Wrap)]:[Meat (6-inch / Wrap)]], 'Cleaned sheet 1'!$A$1:$K$46, 8, FALSE) - $H$44</calculatedColumnFormula>
    </tableColumn>
    <tableColumn id="9" xr3:uid="{AAFD3A63-CB7C-4EA7-8D3F-53577E55C6C3}" name="Sugars (g)" dataDxfId="218">
      <calculatedColumnFormula array="1">VLOOKUP(MeatT[[#This Row],[Meat (6-inch / Wrap)]:[Meat (6-inch / Wrap)]], 'Cleaned sheet 1'!$A$1:$K$46, 9, FALSE) - $I$44</calculatedColumnFormula>
    </tableColumn>
    <tableColumn id="10" xr3:uid="{B6A13038-27B8-473C-981E-B111DC847FA7}" name="Dietary Fiber (g)" dataDxfId="217">
      <calculatedColumnFormula array="1">VLOOKUP(MeatT[[#This Row],[Meat (6-inch / Wrap)]:[Meat (6-inch / Wrap)]], 'Cleaned sheet 1'!$A$1:$K$46, 10, FALSE) - $J$44</calculatedColumnFormula>
    </tableColumn>
    <tableColumn id="11" xr3:uid="{0167179F-A2A1-4629-AFA3-23C84D299EDE}" name="Sodium (mg)" dataDxfId="216">
      <calculatedColumnFormula array="1">VLOOKUP(MeatT[[#This Row],[Meat (6-inch / Wrap)]:[Meat (6-inch / Wrap)]], 'Cleaned sheet 1'!$A$1:$K$46, 11, FALSE) - $K$44</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C1D6E77-F6A7-4393-9703-C09B5386B24B}" name="MToppingsT" displayName="MToppingsT" ref="A36:K44" totalsRowShown="0" headerRowDxfId="215" dataDxfId="214">
  <autoFilter ref="A36:K44" xr:uid="{CC1D6E77-F6A7-4393-9703-C09B5386B24B}"/>
  <tableColumns count="11">
    <tableColumn id="1" xr3:uid="{48F0C78D-3496-4932-B8F9-BE9CB07DB7C4}" name="Toppings (Meat)" dataDxfId="213"/>
    <tableColumn id="2" xr3:uid="{C5F2A716-D050-46E9-A480-4E417DE86E1F}" name="Serving Size (g)" dataDxfId="212"/>
    <tableColumn id="3" xr3:uid="{137D65A8-258E-4833-AF41-781FA8433D16}" name="Energy (kJ)" dataDxfId="211"/>
    <tableColumn id="4" xr3:uid="{3C0D2B8B-382F-44F0-8D26-77CB3C4DA97C}" name="Energy (kcal)" dataDxfId="210"/>
    <tableColumn id="5" xr3:uid="{E386E81D-CEEE-4CB5-BB5D-85183C7B3E05}" name="Protein (g)" dataDxfId="209"/>
    <tableColumn id="6" xr3:uid="{F67D8594-1341-4DF5-9697-A1E289DBE4FF}" name="Fat, Total (g)" dataDxfId="208"/>
    <tableColumn id="7" xr3:uid="{15CC0A63-E28A-431B-BF40-0C51119F786A}" name="Sat. Fat (g)" dataDxfId="207"/>
    <tableColumn id="8" xr3:uid="{5C1BDBF1-245B-4F57-A98C-B3140ADA4C0F}" name="Carbohydrates (g)" dataDxfId="206"/>
    <tableColumn id="9" xr3:uid="{A6962FB9-14AC-4169-AECE-22D0CAB0C538}" name="Sugars (g)" dataDxfId="205"/>
    <tableColumn id="10" xr3:uid="{C635EE86-58A8-48FB-B461-988F7F4F6638}" name="Dietary Fiber (g)" dataDxfId="204"/>
    <tableColumn id="11" xr3:uid="{647BACFF-3F80-4177-8014-3A0E90FEA4D6}" name="Sodium (mg)" dataDxfId="203"/>
  </tableColumns>
  <tableStyleInfo name="TableStyleMedium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E8D1A82-5FEC-40E5-BD68-2F09F86471BC}" name="BBQPorkVT" displayName="BBQPorkVT" ref="A46:K52" totalsRowShown="0" headerRowDxfId="202" dataDxfId="201">
  <autoFilter ref="A46:K52" xr:uid="{BE8D1A82-5FEC-40E5-BD68-2F09F86471BC}"/>
  <tableColumns count="11">
    <tableColumn id="1" xr3:uid="{686290FC-17C5-4B75-9F4A-3CAE1642D336}" name="Toppings ( Subway 6-Inch® BBQ Pulled Pork )" dataDxfId="200"/>
    <tableColumn id="2" xr3:uid="{51DAD63C-5180-41E7-A144-374C8FFD433E}" name="Serving Size (g)" dataDxfId="199"/>
    <tableColumn id="3" xr3:uid="{61ADE4E0-394C-462E-9894-C1D8957A3832}" name="Energy (kJ)" dataDxfId="198"/>
    <tableColumn id="4" xr3:uid="{A6807EC9-B7BE-405E-843D-237C0F1FFBB2}" name="Energy (kcal)" dataDxfId="197"/>
    <tableColumn id="5" xr3:uid="{31897BF4-4044-4F24-BF36-EDCEFF5C9056}" name="Protein (g)" dataDxfId="196"/>
    <tableColumn id="6" xr3:uid="{9E4EAE3C-351B-4A80-9D2E-E78B28330E12}" name="Fat, Total (g)" dataDxfId="195"/>
    <tableColumn id="7" xr3:uid="{E5659D75-06E6-4185-BD33-B668ECEBC987}" name="Sat. Fat (g)" dataDxfId="194"/>
    <tableColumn id="8" xr3:uid="{EC634045-AD31-42AB-A214-84DB3B7FC86C}" name="Carbohydrates (g)" dataDxfId="193"/>
    <tableColumn id="9" xr3:uid="{67C4B1E4-744E-45AA-A683-5BE6D39BD252}" name="Sugars (g)" dataDxfId="192"/>
    <tableColumn id="10" xr3:uid="{B4EF5E81-1B13-4432-A457-1A45503DB548}" name="Dietary Fiber (g)" dataDxfId="191"/>
    <tableColumn id="11" xr3:uid="{1DCC4FCA-F60F-410C-8EC5-CA0F65E67FB4}" name="Sodium (mg)" dataDxfId="190"/>
  </tableColumns>
  <tableStyleInfo name="TableStyleMedium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26D44BE3-4574-4C64-AC25-0538D1BA29CA}" name="PromT" displayName="PromT" ref="A30:K32" totalsRowShown="0" headerRowDxfId="189" headerRowBorderDxfId="188" tableBorderDxfId="187" totalsRowBorderDxfId="186">
  <autoFilter ref="A30:K32" xr:uid="{26D44BE3-4574-4C64-AC25-0538D1BA29CA}"/>
  <sortState xmlns:xlrd2="http://schemas.microsoft.com/office/spreadsheetml/2017/richdata2" ref="A31:K32">
    <sortCondition ref="E30:E32"/>
  </sortState>
  <tableColumns count="11">
    <tableColumn id="1" xr3:uid="{09AAD34B-BC2C-425B-987D-70744FB6776C}" name="Promotional items (6-inch / Wrap)"/>
    <tableColumn id="2" xr3:uid="{78F52739-EB71-4B6D-87E1-DB7D38CA9102}" name="Serving Size (g)">
      <calculatedColumnFormula array="1">VLOOKUP(PromT[[#This Row],[Promotional items (6-inch / Wrap)]:[Promotional items (6-inch / Wrap)]], 'Cleaned sheet 2'!$A$1:$K$78, 2, FALSE)</calculatedColumnFormula>
    </tableColumn>
    <tableColumn id="3" xr3:uid="{E253264B-4E4E-4B22-9D67-5429B488AEC0}" name="Energy (kJ)">
      <calculatedColumnFormula array="1">VLOOKUP(PromT[[#This Row],[Promotional items (6-inch / Wrap)]:[Promotional items (6-inch / Wrap)]], 'Cleaned sheet 2'!$A$1:$K$78, 3, FALSE)</calculatedColumnFormula>
    </tableColumn>
    <tableColumn id="4" xr3:uid="{26B3CC83-EA31-4C08-BE9A-2ADC3BF018C0}" name="Energy (kcal)">
      <calculatedColumnFormula array="1">VLOOKUP(PromT[[#This Row],[Promotional items (6-inch / Wrap)]:[Promotional items (6-inch / Wrap)]], 'Cleaned sheet 2'!$A$1:$K$78, 4, FALSE)</calculatedColumnFormula>
    </tableColumn>
    <tableColumn id="5" xr3:uid="{08B242FF-67A3-4708-ADE8-062CC85E66D4}" name="Protein (g)">
      <calculatedColumnFormula array="1">VLOOKUP(PromT[[#This Row],[Promotional items (6-inch / Wrap)]:[Promotional items (6-inch / Wrap)]], 'Cleaned sheet 2'!$A$1:$K$78, 5, FALSE)</calculatedColumnFormula>
    </tableColumn>
    <tableColumn id="6" xr3:uid="{E055BE1E-C923-4EA8-B436-8CB1EE097823}" name="Fat, Total (g)">
      <calculatedColumnFormula array="1">VLOOKUP(PromT[[#This Row],[Promotional items (6-inch / Wrap)]:[Promotional items (6-inch / Wrap)]], 'Cleaned sheet 2'!$A$1:$K$78, 6, FALSE)</calculatedColumnFormula>
    </tableColumn>
    <tableColumn id="7" xr3:uid="{13066AEC-D7C4-4749-86DA-869F90BF5939}" name="Sat. Fat (g)">
      <calculatedColumnFormula array="1">VLOOKUP(PromT[[#This Row],[Promotional items (6-inch / Wrap)]:[Promotional items (6-inch / Wrap)]], 'Cleaned sheet 2'!$A$1:$K$78, 7, FALSE)</calculatedColumnFormula>
    </tableColumn>
    <tableColumn id="8" xr3:uid="{3181F5E5-0348-4EE7-8851-A34522AC75BB}" name="Carbohydrates (g)">
      <calculatedColumnFormula array="1">VLOOKUP(PromT[[#This Row],[Promotional items (6-inch / Wrap)]:[Promotional items (6-inch / Wrap)]], 'Cleaned sheet 2'!$A$1:$K$78, 8, FALSE)</calculatedColumnFormula>
    </tableColumn>
    <tableColumn id="9" xr3:uid="{7287F079-BA53-4900-BE38-D258BE79A142}" name="Sugars (g)">
      <calculatedColumnFormula array="1">VLOOKUP(PromT[[#This Row],[Promotional items (6-inch / Wrap)]:[Promotional items (6-inch / Wrap)]], 'Cleaned sheet 2'!$A$1:$K$78, 9, FALSE)</calculatedColumnFormula>
    </tableColumn>
    <tableColumn id="10" xr3:uid="{042E893A-9530-449E-906A-456C473ADB35}" name="Dietary Fiber (g)">
      <calculatedColumnFormula array="1">VLOOKUP(PromT[[#This Row],[Promotional items (6-inch / Wrap)]:[Promotional items (6-inch / Wrap)]], 'Cleaned sheet 2'!$A$1:$K$78, 10, FALSE)</calculatedColumnFormula>
    </tableColumn>
    <tableColumn id="11" xr3:uid="{3146FC7D-C481-4D03-BADB-43BF99FF3538}" name="Sodium (mg)">
      <calculatedColumnFormula array="1">VLOOKUP(PromT[[#This Row],[Promotional items (6-inch / Wrap)]:[Promotional items (6-inch / Wrap)]], 'Cleaned sheet 2'!$A$1:$K$78, 11, FALSE)</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DD499D0-A8DD-4C62-9E16-3E93CDEA2D2F}" name="BBQPorkBVT" displayName="BBQPorkBVT" ref="A54:K61" totalsRowShown="0" headerRowDxfId="185" dataDxfId="184">
  <autoFilter ref="A54:K61" xr:uid="{CDD499D0-A8DD-4C62-9E16-3E93CDEA2D2F}"/>
  <tableColumns count="11">
    <tableColumn id="1" xr3:uid="{A7EEFB9C-B020-404A-AF4F-F1E0E42D4AAC}" name="Toppings ( Subway 6-Inch® BBQ Pulled Pork with Bacon )" dataDxfId="183"/>
    <tableColumn id="2" xr3:uid="{1C17CAD9-2A61-4241-8E3C-CF19A529F5DE}" name="Serving Size (g)" dataDxfId="182"/>
    <tableColumn id="3" xr3:uid="{61B2B277-F3D8-492C-920A-FF763C22D19F}" name="Energy (kJ)" dataDxfId="181"/>
    <tableColumn id="4" xr3:uid="{C06E573F-33BD-4321-8040-5FA4D5D5AB3A}" name="Energy (kcal)" dataDxfId="180"/>
    <tableColumn id="5" xr3:uid="{5CF1CCAB-02C9-4A90-AABB-4EE18A065A03}" name="Protein (g)" dataDxfId="179"/>
    <tableColumn id="6" xr3:uid="{508A6B72-0A2F-4D60-9985-6E395079F91D}" name="Fat, Total (g)" dataDxfId="178"/>
    <tableColumn id="7" xr3:uid="{CC355DAB-82B1-4E5B-8621-1DFD48D79EAD}" name="Sat. Fat (g)" dataDxfId="177"/>
    <tableColumn id="8" xr3:uid="{0CD97B44-B184-4CF0-853F-8E1EFFE7AE8F}" name="Carbohydrates (g)" dataDxfId="176"/>
    <tableColumn id="9" xr3:uid="{D35B3F75-03D0-4A27-BD42-8B1CDDC78A37}" name="Sugars (g)" dataDxfId="175"/>
    <tableColumn id="10" xr3:uid="{40771B11-0D4B-487C-B7DB-58C1BDED1D4E}" name="Dietary Fiber (g)" dataDxfId="174"/>
    <tableColumn id="11" xr3:uid="{1DB34B74-B3A0-4D75-89D4-FC4A4B2898AF}" name="Sodium (mg)" dataDxfId="173"/>
  </tableColumns>
  <tableStyleInfo name="TableStyleMedium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42FDF9C-B777-4107-8D25-D5D71DD01267}" name="BreadT" displayName="BreadT" ref="A1:K6" totalsRowShown="0" headerRowDxfId="172">
  <autoFilter ref="A1:K6" xr:uid="{842FDF9C-B777-4107-8D25-D5D71DD01267}"/>
  <tableColumns count="11">
    <tableColumn id="1" xr3:uid="{758DB4C8-7692-44CA-B22F-B7F6F9758810}" name="6-inch" dataDxfId="171"/>
    <tableColumn id="2" xr3:uid="{938BDAEE-D847-4C93-B0E7-B8F448853F33}" name="Serving Size (g)" dataDxfId="170"/>
    <tableColumn id="3" xr3:uid="{ED72FC94-A62C-436C-8621-B340AF17F886}" name="Energy (kJ)" dataDxfId="169"/>
    <tableColumn id="4" xr3:uid="{58695C7E-5F95-4AE3-BF6B-7A4B1C6C9EDD}" name="Energy (kcal)" dataDxfId="168"/>
    <tableColumn id="5" xr3:uid="{33FE0E3B-D9F2-4F63-A2F8-C4979B0E0415}" name="Protein (g)" dataDxfId="167"/>
    <tableColumn id="6" xr3:uid="{D02B05B5-1393-4CE6-9CA6-79172E909B69}" name="Fat, Total (g)" dataDxfId="166"/>
    <tableColumn id="7" xr3:uid="{9F215D89-50D2-4589-8AD0-FBE37F5226DC}" name="Sat. Fat (g)" dataDxfId="165"/>
    <tableColumn id="8" xr3:uid="{8F71CE06-EF92-4051-878E-C8850BA3713F}" name="Carbohydrates (g)" dataDxfId="164"/>
    <tableColumn id="9" xr3:uid="{2E7FF9C9-F2F0-44D3-AD78-B9928E3E51C8}" name="Sugars (g)" dataDxfId="163"/>
    <tableColumn id="10" xr3:uid="{31288D6D-C436-4738-8085-E465AB48CA1B}" name="Dietary Fiber (g)" dataDxfId="162"/>
    <tableColumn id="11" xr3:uid="{17C516B8-26EF-4B0F-9580-73CC53E87959}" name="Sodium (mg)" dataDxfId="161"/>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C106699-8D0B-4103-800A-BFFC841DC1E6}" name="CheeseT" displayName="CheeseT" ref="A1:M4" totalsRowShown="0" headerRowDxfId="160" dataDxfId="159">
  <autoFilter ref="A1:M4" xr:uid="{2C106699-8D0B-4103-800A-BFFC841DC1E6}"/>
  <tableColumns count="13">
    <tableColumn id="1" xr3:uid="{33957E3F-0144-4A7F-A158-9A93735F6266}" name="Cheese (6-inch / Wrap)" dataDxfId="158"/>
    <tableColumn id="13" xr3:uid="{11B5B92F-7F68-4976-B68D-2710657C5533}" name="Serving Count" dataDxfId="157"/>
    <tableColumn id="12" xr3:uid="{825D3FD2-EBE4-404E-85E7-F4B8DC9C5065}" name="Serving Units" dataDxfId="156"/>
    <tableColumn id="2" xr3:uid="{50A0B66A-56B2-4200-A82F-224D078674E4}" name="Serving Size (g)" dataDxfId="155"/>
    <tableColumn id="3" xr3:uid="{42BDDDF5-4A4B-4712-B39A-2E5563CF54A0}" name="Energy (kJ)" dataDxfId="154"/>
    <tableColumn id="4" xr3:uid="{3191470C-5F60-422F-8ADC-2C883AA3BD95}" name="Energy (kcal)" dataDxfId="153"/>
    <tableColumn id="5" xr3:uid="{84464C5C-BC61-4BC9-AFB5-C5F503470928}" name="Protein (g)" dataDxfId="152"/>
    <tableColumn id="6" xr3:uid="{BA966075-6740-4173-BAA3-89B1FB961950}" name="Fat, Total (g)" dataDxfId="151"/>
    <tableColumn id="7" xr3:uid="{45E263F3-1C55-4BAB-A611-1E5497A9BE94}" name="Sat. Fat (g)" dataDxfId="150"/>
    <tableColumn id="8" xr3:uid="{C9D1074F-9A98-41B3-BB1F-62379822DECB}" name="Carbohydrates (g)" dataDxfId="149"/>
    <tableColumn id="9" xr3:uid="{66504AD3-F177-42E8-A5A3-D2B77EAB846F}" name="Sugars (g)" dataDxfId="148"/>
    <tableColumn id="10" xr3:uid="{B02E0AE6-F8B9-4E3E-BC37-8C69C26DB4F0}" name="Dietary Fiber (g)" dataDxfId="147"/>
    <tableColumn id="11" xr3:uid="{148CA630-16E9-445F-931E-80E7CB96494E}" name="Sodium (mg)" dataDxfId="146"/>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F15CE52D-B800-4CD0-8C51-9A3E363ADA20}" name="CheeseIT" displayName="CheeseIT" ref="A7:M10" totalsRowShown="0" headerRowDxfId="145" dataDxfId="144">
  <autoFilter ref="A7:M10" xr:uid="{F15CE52D-B800-4CD0-8C51-9A3E363ADA20}"/>
  <tableColumns count="13">
    <tableColumn id="1" xr3:uid="{5D1DDBBD-E524-4A6B-97CC-7F3BE983302E}" name="Cheese (Individual)" dataDxfId="143"/>
    <tableColumn id="13" xr3:uid="{C7B49654-5ADB-4FA1-B535-03F2565A1DE4}" name="Serving Count" dataDxfId="142"/>
    <tableColumn id="12" xr3:uid="{51387183-C169-497B-A4A6-8D409DEE57A1}" name="Serving Units" dataDxfId="141"/>
    <tableColumn id="2" xr3:uid="{E8B7E19D-FF33-435D-8C69-A6C0A994BD7C}" name="Serving Size (g)" dataDxfId="140"/>
    <tableColumn id="3" xr3:uid="{AA0402C2-99B5-4C5C-8E31-F63BCD20E6CC}" name="Energy (kJ)" dataDxfId="139"/>
    <tableColumn id="4" xr3:uid="{77A4048F-4B7E-4D65-B536-8EF161BD9DB0}" name="Energy (kcal)" dataDxfId="138"/>
    <tableColumn id="5" xr3:uid="{7BE2B716-945C-4E8C-A1F6-E0ADC8BBA360}" name="Protein (g)" dataDxfId="137"/>
    <tableColumn id="6" xr3:uid="{80B279C2-80B0-4725-872A-DD12C366915E}" name="Fat, Total (g)" dataDxfId="136"/>
    <tableColumn id="7" xr3:uid="{81CA778B-AB0C-4D52-880A-9F3426BD87AB}" name="Sat. Fat (g)" dataDxfId="135"/>
    <tableColumn id="8" xr3:uid="{B6BAC1C2-ABF4-4BAE-963A-7BA64DE972C8}" name="Carbohydrates (g)" dataDxfId="134"/>
    <tableColumn id="9" xr3:uid="{A964896E-36DA-4DF9-9E2E-E44705788A54}" name="Sugars (g)" dataDxfId="133"/>
    <tableColumn id="10" xr3:uid="{1CFEF981-9565-44A0-8B6C-C583C4A5D8CA}" name="Dietary Fiber (g)" dataDxfId="132"/>
    <tableColumn id="11" xr3:uid="{1A57B8C7-EDB5-4CE5-A82F-90FC797D2828}" name="Sodium (mg)" dataDxfId="131"/>
  </tableColumns>
  <tableStyleInfo name="TableStyleMedium1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FBD4545-881D-44A1-B627-6FBD26296D77}" name="ToppingsT" displayName="ToppingsT" ref="A1:K19" totalsRowShown="0" headerRowDxfId="130" dataDxfId="129">
  <autoFilter ref="A1:K19" xr:uid="{6FBD4545-881D-44A1-B627-6FBD26296D77}"/>
  <tableColumns count="11">
    <tableColumn id="1" xr3:uid="{EC6DADF7-7B90-4E00-93BB-C3B62AD3FAFE}" name="Toppings (6-inch / Wrap)" dataDxfId="128"/>
    <tableColumn id="2" xr3:uid="{BD5745DE-2A08-439D-A1BB-EB48A9698691}" name="Serving Size (g)" dataDxfId="127"/>
    <tableColumn id="3" xr3:uid="{E2A81174-5575-4A9B-B2BF-B70A97C4F8BE}" name="Energy (kJ)" dataDxfId="126"/>
    <tableColumn id="4" xr3:uid="{3294B9AE-DF0E-492A-99D5-F1D3C1A40198}" name="Energy (kcal)" dataDxfId="125"/>
    <tableColumn id="5" xr3:uid="{A4D49AB0-A528-4A7B-8A20-DD626C19EE7F}" name="Protein (g)" dataDxfId="124"/>
    <tableColumn id="6" xr3:uid="{ED90C211-646E-481D-B2E4-9A061A5E5E91}" name="Fat, Total (g)" dataDxfId="123"/>
    <tableColumn id="7" xr3:uid="{ECED1EEE-8364-4215-B090-9F39AB9DA98B}" name="Sat. Fat (g)" dataDxfId="122"/>
    <tableColumn id="8" xr3:uid="{6E6236B4-BFA5-4A29-9CF8-0E501485286C}" name="Carbohydrates (g)" dataDxfId="121"/>
    <tableColumn id="9" xr3:uid="{E2F78B6C-D988-4256-B2DB-1AB9D6A4FFB6}" name="Sugars (g)" dataDxfId="120"/>
    <tableColumn id="10" xr3:uid="{84FCCDED-A849-4A91-B5E1-C65BBFD0929C}" name="Dietary Fiber (g)" dataDxfId="119"/>
    <tableColumn id="11" xr3:uid="{85A7C8B9-B5CF-4842-939F-0901A0832487}" name="Sodium (mg)" dataDxfId="118"/>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82647B1-7A58-4CBC-AE3F-9AF5A534B9BD}" name="DressingT" displayName="DressingT" ref="A1:K13" totalsRowShown="0" headerRowDxfId="117" dataDxfId="116">
  <autoFilter ref="A1:K13" xr:uid="{382647B1-7A58-4CBC-AE3F-9AF5A534B9BD}"/>
  <tableColumns count="11">
    <tableColumn id="1" xr3:uid="{ED4DF9A3-3721-46AD-B648-E2DA080F8453}" name="Dressing (6-inch / Wrap)" dataDxfId="115"/>
    <tableColumn id="2" xr3:uid="{7CD11122-E3F1-44F4-B4D1-B46C6E97FEDC}" name="Serving Size (g)" dataDxfId="114"/>
    <tableColumn id="3" xr3:uid="{AAAB34CD-722C-4ADC-BB91-D05895F0F375}" name="Energy (kJ)" dataDxfId="113"/>
    <tableColumn id="4" xr3:uid="{3DFCA5EC-003C-44DD-A68E-ECBEB6BB0344}" name="Energy (kcal)" dataDxfId="112"/>
    <tableColumn id="5" xr3:uid="{836796BF-29AB-4A38-8E9B-82667D32CD73}" name="Protein (g)" dataDxfId="111"/>
    <tableColumn id="6" xr3:uid="{FB974225-695E-46D2-8477-D6BD98E14B6C}" name="Fat, Total (g)" dataDxfId="110"/>
    <tableColumn id="7" xr3:uid="{AA62AC0B-70CE-421E-924F-28A5EE91FC90}" name="Sat. Fat (g)" dataDxfId="109"/>
    <tableColumn id="8" xr3:uid="{20A44022-CB9F-4AF4-B298-CF1FCFB4772D}" name="Carbohydrates (g)" dataDxfId="108"/>
    <tableColumn id="9" xr3:uid="{DD0DD573-59D8-4610-8F96-5310441FB873}" name="Sugars (g)" dataDxfId="107"/>
    <tableColumn id="10" xr3:uid="{1264233A-AB83-46BC-A472-19DEB842F4DD}" name="Dietary Fiber (g)" dataDxfId="106"/>
    <tableColumn id="11" xr3:uid="{94A59CEF-854A-435C-B715-0E410E6EE16E}" name="Sodium (mg)" dataDxfId="105"/>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6953B933-313A-4F1A-BEEE-EEE7D61E7F01}" name="SeasoningT" displayName="SeasoningT" ref="A16:K18" totalsRowShown="0" headerRowDxfId="104" dataDxfId="103">
  <autoFilter ref="A16:K18" xr:uid="{6953B933-313A-4F1A-BEEE-EEE7D61E7F01}"/>
  <tableColumns count="11">
    <tableColumn id="1" xr3:uid="{0C8F9F9E-CAB6-4390-8720-4AE4C65832AA}" name="Seasoning (6-inch / Wrap)" dataDxfId="102"/>
    <tableColumn id="2" xr3:uid="{79DD5F36-8ADC-44EB-A793-5A97003D6F62}" name="Serving Size (g)" dataDxfId="101"/>
    <tableColumn id="3" xr3:uid="{AE867B93-E5B3-4F27-99BE-EF08AA4BA893}" name="Energy (kJ)" dataDxfId="100"/>
    <tableColumn id="4" xr3:uid="{7A578D4C-3FC1-4541-BFD7-B49A152A26B0}" name="Energy (kcal)" dataDxfId="99"/>
    <tableColumn id="5" xr3:uid="{6090D95D-6929-46DA-886F-7ED6929850D5}" name="Protein (g)" dataDxfId="98"/>
    <tableColumn id="6" xr3:uid="{5115B58E-1AD0-433B-8241-B4750CEFC7F8}" name="Fat, Total (g)" dataDxfId="97"/>
    <tableColumn id="7" xr3:uid="{029AAF25-0408-4E6B-BB67-A620DEC77334}" name="Sat. Fat (g)" dataDxfId="96"/>
    <tableColumn id="8" xr3:uid="{EE772F30-907C-4467-87BA-3E55E1C63AAD}" name="Carbohydrates (g)" dataDxfId="95"/>
    <tableColumn id="9" xr3:uid="{24262163-BB76-4C1F-A409-4F593C8A20A9}" name="Sugars (g)" dataDxfId="94"/>
    <tableColumn id="10" xr3:uid="{554AFB80-FDBA-4ADF-A06D-7868A037C9DB}" name="Dietary Fiber (g)" dataDxfId="93"/>
    <tableColumn id="11" xr3:uid="{9E382F8B-00F8-4551-BED7-BACC232F9E2C}" name="Sodium (mg)" dataDxfId="92"/>
  </tableColumns>
  <tableStyleInfo name="TableStyleMedium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37430C7-F2DD-4E0C-837B-E3C7C263EAE6}" name="VegT" displayName="VegT" ref="A1:M14" totalsRowShown="0" headerRowDxfId="91" dataDxfId="90">
  <autoFilter ref="A1:M14" xr:uid="{937430C7-F2DD-4E0C-837B-E3C7C263EAE6}"/>
  <sortState xmlns:xlrd2="http://schemas.microsoft.com/office/spreadsheetml/2017/richdata2" ref="A8:M13">
    <sortCondition ref="A1:A14"/>
  </sortState>
  <tableColumns count="13">
    <tableColumn id="1" xr3:uid="{6D432C98-0C7D-47B6-BB86-B00720E131C4}" name="Veggies (6-inch/Wrap)" dataDxfId="89"/>
    <tableColumn id="2" xr3:uid="{7F884703-C33E-4170-96E2-978B9BD7709C}" name="Serving Count" dataDxfId="88"/>
    <tableColumn id="3" xr3:uid="{289BE9F7-A206-4414-8F53-9ADD13D972A7}" name="Serving Units" dataDxfId="87"/>
    <tableColumn id="4" xr3:uid="{C2C43CF1-6664-42B2-B005-FFD760CB6C07}" name="Serving Size (g)" dataDxfId="86"/>
    <tableColumn id="5" xr3:uid="{FF30EFD7-FF71-4385-9999-F82F56F07186}" name="Energy (kJ)" dataDxfId="85"/>
    <tableColumn id="6" xr3:uid="{ACE4A346-4B72-4E12-8D04-8F3F9A2B2FA0}" name="Energy (kcal)" dataDxfId="84"/>
    <tableColumn id="7" xr3:uid="{8B8A7AEB-BC42-46D5-B5DE-C4FBAB34F228}" name="Protein (g)" dataDxfId="83"/>
    <tableColumn id="8" xr3:uid="{B6E2114A-9F5E-4B94-B146-B7C4E748AAC9}" name="Fat, Total (g)" dataDxfId="82"/>
    <tableColumn id="9" xr3:uid="{1D8BA99E-4667-499B-8EF0-743160A3201A}" name="Sat. Fat (g)" dataDxfId="81"/>
    <tableColumn id="10" xr3:uid="{F2DE81BE-D539-4B22-A530-9EF942C699C8}" name="Carbohydrates (g)" dataDxfId="80"/>
    <tableColumn id="11" xr3:uid="{6957DB56-D29F-4723-B4EB-FA0867852275}" name="Sugars (g)" dataDxfId="79"/>
    <tableColumn id="12" xr3:uid="{DD8748C1-01F6-45B5-86F5-9C130C328C3C}" name="Dietary Fiber (g)" dataDxfId="78"/>
    <tableColumn id="13" xr3:uid="{65C31837-CB3E-4201-9673-2911256F1C39}" name="Sodium (mg)" dataDxfId="77"/>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E774997-D040-4538-BC6D-1575B8FBFC41}" name="IVegT" displayName="IVegT" ref="A54:M61" totalsRowCount="1" headerRowDxfId="76" dataDxfId="75">
  <autoFilter ref="A54:M60" xr:uid="{4E774997-D040-4538-BC6D-1575B8FBFC41}"/>
  <sortState xmlns:xlrd2="http://schemas.microsoft.com/office/spreadsheetml/2017/richdata2" ref="A55:M60">
    <sortCondition ref="A54:A60"/>
  </sortState>
  <tableColumns count="13">
    <tableColumn id="1" xr3:uid="{A7A4A67E-6871-4F04-A383-524338D28C6D}" name="Column1" dataDxfId="74" totalsRowDxfId="73"/>
    <tableColumn id="2" xr3:uid="{9257B17C-36D3-4B36-9648-3EB8269E1F73}" name="Column2" dataDxfId="72" totalsRowDxfId="71"/>
    <tableColumn id="3" xr3:uid="{DD373C04-5E20-43BB-9275-CC218FDA9DF1}" name="Column3" dataDxfId="70" totalsRowDxfId="69"/>
    <tableColumn id="4" xr3:uid="{5D1CA00A-CF9A-49B4-A569-4CF06DF294CF}" name="Column4" dataDxfId="68" totalsRowDxfId="67"/>
    <tableColumn id="5" xr3:uid="{5CC988CD-9ABA-4474-AB41-7F14A552C200}" name="Column5" dataDxfId="66" totalsRowDxfId="65"/>
    <tableColumn id="6" xr3:uid="{E6F1D0C4-F94B-412D-A661-489D2EA99BDD}" name="Column6" dataDxfId="64" totalsRowDxfId="63"/>
    <tableColumn id="7" xr3:uid="{7A5FA7B0-0F9D-49CB-BEF1-916923876545}" name="Column7" dataDxfId="62" totalsRowDxfId="61"/>
    <tableColumn id="8" xr3:uid="{3531F169-7830-47F6-A76A-AB8ACCB8F870}" name="Column8" dataDxfId="60" totalsRowDxfId="59"/>
    <tableColumn id="9" xr3:uid="{FF71A48D-72B6-4A58-B3D2-CDAC80DEE1D7}" name="Column9" dataDxfId="58" totalsRowDxfId="57"/>
    <tableColumn id="10" xr3:uid="{8D65EADB-55BF-40FE-B229-7218155B820C}" name="Column10" dataDxfId="56" totalsRowDxfId="55"/>
    <tableColumn id="11" xr3:uid="{EF98C10B-6A44-46CE-97E8-A3ADC12506BD}" name="Column11" dataDxfId="54" totalsRowDxfId="53"/>
    <tableColumn id="12" xr3:uid="{C807BB54-B29E-4953-9D84-BE616B5E6A85}" name="Column12" dataDxfId="52" totalsRowDxfId="51"/>
    <tableColumn id="13" xr3:uid="{02E4DFE6-0FDA-4847-A390-2D73F4D5FCA7}" name="Column13" dataDxfId="50" totalsRowDxfId="49"/>
  </tableColumns>
  <tableStyleInfo name="TableStyleMedium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6FF82E38-B3A0-4B45-ACA6-A81BF46D07F7}" name="VegIT" displayName="VegIT" ref="A17:M23" totalsRowShown="0" headerRowDxfId="48" dataDxfId="46" headerRowBorderDxfId="47" tableBorderDxfId="45" totalsRowBorderDxfId="44">
  <autoFilter ref="A17:M23" xr:uid="{6FF82E38-B3A0-4B45-ACA6-A81BF46D07F7}"/>
  <tableColumns count="13">
    <tableColumn id="1" xr3:uid="{2B657586-0174-4C95-8512-91C93C8BAE52}" name="Veggies - Individual" dataDxfId="43"/>
    <tableColumn id="2" xr3:uid="{3A49CC06-803B-41A7-9FB2-24DDE63DFCDC}" name="Serving Count" dataDxfId="42"/>
    <tableColumn id="3" xr3:uid="{EE168EDA-662B-4C23-A8B7-882C9CD70F7D}" name="Serving Units" dataDxfId="41"/>
    <tableColumn id="4" xr3:uid="{7CD180EA-A827-4A82-ACEA-E5288D2F5509}" name="Serving Size (g)" dataDxfId="40"/>
    <tableColumn id="5" xr3:uid="{828A301B-581D-413C-9C00-3CB2F88E09AA}" name="Energy (kJ)" dataDxfId="39"/>
    <tableColumn id="6" xr3:uid="{888C5B9E-8CAC-4CD1-BF10-5BB2E51C7AEB}" name="Energy (kcal)" dataDxfId="38"/>
    <tableColumn id="7" xr3:uid="{CFEB4E95-90B5-4F6E-8CB1-5BCE528B8711}" name="Protein (g)" dataDxfId="37"/>
    <tableColumn id="8" xr3:uid="{81F7C35C-091A-416B-89E6-F5B9976BADD0}" name="Fat, Total (g)" dataDxfId="36"/>
    <tableColumn id="9" xr3:uid="{2645A5CD-A80F-4BD7-B76D-2C1AD2696FF3}" name="Sat. Fat (g)" dataDxfId="35"/>
    <tableColumn id="10" xr3:uid="{C39F7AA0-64F9-4F10-9B68-07DB26E73DCD}" name="Carbohydrates (g)" dataDxfId="34"/>
    <tableColumn id="11" xr3:uid="{38534B51-9323-428F-961F-B7A72381711C}" name="Sugars (g)" dataDxfId="33"/>
    <tableColumn id="12" xr3:uid="{174E8647-686D-43A8-AB1C-6A794E70A120}" name="Dietary Fiber (g)" dataDxfId="32"/>
    <tableColumn id="13" xr3:uid="{D139D1F6-40BF-47B4-A7CB-2C4D633BF3CA}" name="Sodium (mg)" dataDxfId="31"/>
  </tableColumns>
  <tableStyleInfo name="TableStyleMedium4"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2BAFC8B-51AD-43D8-8B8A-F309FF24CF82}" name="UnitT" displayName="UnitT" ref="O3:P7" totalsRowShown="0" headerRowDxfId="30" dataDxfId="29">
  <autoFilter ref="O3:P7" xr:uid="{F2BAFC8B-51AD-43D8-8B8A-F309FF24CF82}"/>
  <tableColumns count="2">
    <tableColumn id="1" xr3:uid="{0FEBAC0C-FDF7-4BF6-B79B-785F54373A70}" name="Size" dataDxfId="28"/>
    <tableColumn id="2" xr3:uid="{4D823CB3-BEFF-41FF-9D29-0D67C12E6880}" name="Unit multiplier" dataDxfId="27"/>
  </tableColumns>
  <tableStyleInfo name="TableStyleMedium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89F7264E-9959-4B44-B9D5-33D5ED42541D}" name="VegCalc" displayName="VegCalc" ref="A5:C18" totalsRowShown="0" headerRowDxfId="26" dataDxfId="25" tableBorderDxfId="24">
  <autoFilter ref="A5:C18" xr:uid="{89F7264E-9959-4B44-B9D5-33D5ED42541D}"/>
  <tableColumns count="3">
    <tableColumn id="1" xr3:uid="{8EFA29EC-6DE5-49A5-A602-F8B5B6AB5E2A}" name="Vegetables selected" dataDxfId="23"/>
    <tableColumn id="2" xr3:uid="{950891C7-6051-41F3-BBC4-C30407BC2ABC}" name="TRUE / FALSE" dataDxfId="22"/>
    <tableColumn id="3" xr3:uid="{9C90DB0D-5482-4C33-9BE3-42390B0A53A5}" name="Servings" dataDxfId="21">
      <calculatedColumnFormula>IF(Calculator!$B6, IF(AND(MATCH(Calculator!$A6, UI!$E:$E, 0) &gt;= 17, MATCH(Calculator!$A6, UI!$E:$E, 0) &lt;= 22), IF(ISNUMBER(VLOOKUP(Calculator!$A6, UI!$E$17:$H$22, 3, FALSE)), VLOOKUP(Calculator!$A6, UI!$E$17:$H$22, 3, FALSE), "Default"), "Default"), "")</calculatedColumnFormula>
    </tableColumn>
  </tableColumns>
  <tableStyleInfo name="TableStyleMedium5"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C3C92C5-F2C5-40F1-9909-6096ED0D5D2D}" name="DressingCalc" displayName="DressingCalc" ref="E5:F17" totalsRowShown="0" headerRowDxfId="20" dataDxfId="19" tableBorderDxfId="18">
  <autoFilter ref="E5:F17" xr:uid="{6C3C92C5-F2C5-40F1-9909-6096ED0D5D2D}"/>
  <tableColumns count="2">
    <tableColumn id="1" xr3:uid="{4D1D6F7D-2591-4A3A-A195-1F71676C4901}" name="Dressings selected" dataDxfId="17"/>
    <tableColumn id="2" xr3:uid="{5C624A0A-2ADD-4F82-A4E8-D33CCECF433E}" name="TRUE / FALSE" dataDxfId="16"/>
  </tableColumns>
  <tableStyleInfo name="TableStyleMedium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5C00944A-26B0-433B-ABD1-0C1E97DDA763}" name="ToppingCalc" displayName="ToppingCalc" ref="H5:I23" totalsRowShown="0" headerRowDxfId="15" dataDxfId="14" tableBorderDxfId="13">
  <autoFilter ref="H5:I23" xr:uid="{5C00944A-26B0-433B-ABD1-0C1E97DDA763}"/>
  <tableColumns count="2">
    <tableColumn id="1" xr3:uid="{71262608-4D07-43E3-BB8B-1BEE89BA087E}" name="Toppings selected" dataDxfId="12"/>
    <tableColumn id="2" xr3:uid="{9740513E-F9AA-4AF0-958D-6C56EB088C13}" name="TRUE / FALSE" dataDxfId="11"/>
  </tableColumns>
  <tableStyleInfo name="TableStyleMedium5"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CDD9497E-5A5D-4F74-A90E-D2D011A49F72}" name="CheeseCalc" displayName="CheeseCalc" ref="A20:C23" totalsRowShown="0" headerRowDxfId="10" tableBorderDxfId="9">
  <autoFilter ref="A20:C23" xr:uid="{CDD9497E-5A5D-4F74-A90E-D2D011A49F72}"/>
  <tableColumns count="3">
    <tableColumn id="1" xr3:uid="{821C7585-2CF4-43B2-B313-D6AA43146DBF}" name="Cheese selected"/>
    <tableColumn id="2" xr3:uid="{0AF25011-CDAF-4F52-9E7B-955BEC14D2C5}" name="TRUE / FALSE"/>
    <tableColumn id="3" xr3:uid="{26066A75-0E24-4316-B30C-5242B36F958D}" name="Servings">
      <calculatedColumnFormula>IF(ISNUMBER(VLOOKUP(Calculator!$A21, UI!$E$27:$H$29, 3, FALSE)), VLOOKUP(Calculator!$A21, UI!$E$27:$H$29, 3, FALSE), "Default")</calculatedColumnFormula>
    </tableColumn>
  </tableColumns>
  <tableStyleInfo name="TableStyleMedium5"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15E5B9C0-10D5-424E-88A0-45E5C5A7E14C}" name="SeasoningCalc" displayName="SeasoningCalc" ref="E21:F23" totalsRowShown="0" headerRowDxfId="8" tableBorderDxfId="7">
  <autoFilter ref="E21:F23" xr:uid="{15E5B9C0-10D5-424E-88A0-45E5C5A7E14C}"/>
  <tableColumns count="2">
    <tableColumn id="1" xr3:uid="{C26D5BB9-0B5C-4544-9635-B6C475E6109F}" name="Seasonings selected"/>
    <tableColumn id="2" xr3:uid="{285B2009-B98F-4A47-A34F-AE85B240B893}" name="TRUE / FALSE"/>
  </tableColumns>
  <tableStyleInfo name="TableStyleMedium1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984F209-A049-4003-9A43-CE6815C5DDC0}" name="SelectionT" displayName="SelectionT" ref="D30:H48" totalsRowShown="0" headerRowDxfId="6" dataDxfId="5">
  <autoFilter ref="D30:H48" xr:uid="{9984F209-A049-4003-9A43-CE6815C5DDC0}"/>
  <tableColumns count="5">
    <tableColumn id="1" xr3:uid="{401A53D1-CBB4-405A-9D2F-E69550B7D3C3}" name="Vegetables" dataDxfId="4"/>
    <tableColumn id="2" xr3:uid="{91FD26D0-2BBB-4602-BA2F-CB32DAF2C8D9}" name="Cheese" dataDxfId="3"/>
    <tableColumn id="3" xr3:uid="{D71C2E5B-D76C-4EA9-97FB-8A2C50A64CD5}" name="Seasonings" dataDxfId="2"/>
    <tableColumn id="4" xr3:uid="{3A3D3797-F989-4621-8EE1-E8ACDA327C0A}" name="Toppings" dataDxfId="1"/>
    <tableColumn id="5" xr3:uid="{581C0D20-55CC-444F-B334-B96F7DF53E89}" name="Dressings"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A1" dT="2022-10-05T03:12:59.28" personId="{1B94FF52-5022-4EE0-8F6A-82F0B04ED37D}" id="{F56C3933-3D87-4F5B-9FB2-95657F540660}">
    <text>=VLOOKUP(Meat6WT[@[Meat (6-inch / Wrap)]:[Meat (6-inch / Wrap)]], 'Cleaned sheet 1'!$A$1:$K$46, 2, FALSE)</text>
  </threadedComment>
  <threadedComment ref="A30" dT="2022-10-05T03:12:59.28" personId="{1B94FF52-5022-4EE0-8F6A-82F0B04ED37D}" id="{BE490BC0-B831-49A7-BDEA-A5A358EC24EB}">
    <text>=VLOOKUP(PromT[@[Promotional items (6-inch / Wrap)]:[Promotional items (6-inch / Wrap)]], 'Cleaned sheet 2'!A1:K78, 2, FALSE)</text>
  </threadedComment>
  <threadedComment ref="A36" dT="2022-10-05T09:44:14.43" personId="{1B94FF52-5022-4EE0-8F6A-82F0B04ED37D}" id="{CFCDCC05-FCB8-401C-B841-FD1F99854E68}">
    <text>BREAD
=VLOOKUP(MToppingsT[@[Toppings (Meat)]:[Toppings (Meat)]], BreadT, B$34, FALSE)</text>
  </threadedComment>
  <threadedComment ref="A36" dT="2022-10-05T10:24:51.21" personId="{1B94FF52-5022-4EE0-8F6A-82F0B04ED37D}" id="{7E80C814-24A7-4BA7-9823-38E586CA658C}" parentId="{CFCDCC05-FCB8-401C-B841-FD1F99854E68}">
    <text>VEGGIE
=VLOOKUP(MToppingsT[@[Toppings (Meat)]:[Toppings (Meat)]], VegT, Meat!B$35, FALSE)</text>
  </threadedComment>
  <threadedComment ref="A46" dT="2022-10-05T10:25:10.26" personId="{1B94FF52-5022-4EE0-8F6A-82F0B04ED37D}" id="{9BF78FA5-0C84-449A-A92D-10E113639D3C}">
    <text>VEGGIE
=VLOOKUP(BBQPorkVT[@[Toppings ( Subway 6-Inch® BBQ Pulled Pork )]:[Toppings ( Subway 6-Inch® BBQ Pulled Pork )]], VegT, Meat!B$48, FALSE)</text>
  </threadedComment>
  <threadedComment ref="A46" dT="2022-10-05T10:25:29.02" personId="{1B94FF52-5022-4EE0-8F6A-82F0B04ED37D}" id="{5C81845E-46CD-4D3E-8F41-673E7BC02A80}" parentId="{9BF78FA5-0C84-449A-A92D-10E113639D3C}">
    <text>DRESSING
=VLOOKUP(BBQPorkVT[@[Toppings ( Subway 6-Inch® BBQ Pulled Pork )]:[Toppings ( Subway 6-Inch® BBQ Pulled Pork )]], DressingT, Meat!B$47, FALSE)</text>
  </threadedComment>
  <threadedComment ref="A46" dT="2022-10-05T10:25:46.79" personId="{1B94FF52-5022-4EE0-8F6A-82F0B04ED37D}" id="{FA27A38E-96A7-4040-8AEB-3275B0CD5E3F}" parentId="{9BF78FA5-0C84-449A-A92D-10E113639D3C}">
    <text>BREAD =VLOOKUP(BBQPorkVT[@[Toppings ( Subway 6-Inch® BBQ Pulled Pork )]:[Toppings ( Subway 6-Inch® BBQ Pulled Pork )]], BreadT, B$47, FALSE)</text>
  </threadedComment>
  <threadedComment ref="A54" dT="2022-10-05T10:26:01.55" personId="{1B94FF52-5022-4EE0-8F6A-82F0B04ED37D}" id="{5A93FDCC-0CFA-44D3-BD3C-E61E04942DC0}">
    <text>VEGGIE
=VLOOKUP(BBQPorkBVT[@[Toppings ( Subway 6-Inch® BBQ Pulled Pork with Bacon )]:[Toppings ( Subway 6-Inch® BBQ Pulled Pork with Bacon )]], VegT, Meat!B$58, FALSE)</text>
  </threadedComment>
  <threadedComment ref="A54" dT="2022-10-05T10:26:21.02" personId="{1B94FF52-5022-4EE0-8F6A-82F0B04ED37D}" id="{A96FB0FD-880D-4748-8C23-5B9CD48055EE}" parentId="{5A93FDCC-0CFA-44D3-BD3C-E61E04942DC0}">
    <text>CHEESE
=VLOOKUP(BBQPorkBVT[@[Toppings ( Subway 6-Inch® BBQ Pulled Pork with Bacon )]:[Toppings ( Subway 6-Inch® BBQ Pulled Pork with Bacon )]], BreadT, Meat!B$57, FALSE)</text>
  </threadedComment>
  <threadedComment ref="A54" dT="2022-10-05T10:26:37.48" personId="{1B94FF52-5022-4EE0-8F6A-82F0B04ED37D}" id="{FC6D7202-CC86-4A87-8F68-78DCC2DA9FEA}" parentId="{5A93FDCC-0CFA-44D3-BD3C-E61E04942DC0}">
    <text>DRESSING
=VLOOKUP(BBQPorkBVT[@[Toppings ( Subway 6-Inch® BBQ Pulled Pork with Bacon )]:[Toppings ( Subway 6-Inch® BBQ Pulled Pork with Bacon )]], DressingT, Meat!B$57, FALSE)</text>
  </threadedComment>
</ThreadedComments>
</file>

<file path=xl/threadedComments/threadedComment2.xml><?xml version="1.0" encoding="utf-8"?>
<ThreadedComments xmlns="http://schemas.microsoft.com/office/spreadsheetml/2018/threadedcomments" xmlns:x="http://schemas.openxmlformats.org/spreadsheetml/2006/main">
  <threadedComment ref="D4" dT="2022-10-08T17:48:09.91" personId="{1B94FF52-5022-4EE0-8F6A-82F0B04ED37D}" id="{D9B25C2C-4F46-4453-98D0-E94380660CCD}">
    <text>=VLOOKUP('Nutritional Info'!$C$6, BreadT, D$3,FALSE)*getMultiplier()</text>
  </threadedComment>
  <threadedComment ref="D11" dT="2022-10-08T17:48:18.84" personId="{1B94FF52-5022-4EE0-8F6A-82F0B04ED37D}" id="{60CA7B47-BAF5-44D2-85D3-73011C4EF8CA}">
    <text>=VLOOKUP('Nutritional Info'!$C$11,MeatT,D$9,FALSE)*getMultiplier()</text>
  </threadedComment>
  <threadedComment ref="D17" dT="2022-10-08T17:48:27.69" personId="{1B94FF52-5022-4EE0-8F6A-82F0B04ED37D}" id="{32AE69AE-BCE4-46C6-9D22-76ABBC9E1984}">
    <text>=IF(LEN(C16)&gt;0, IF(hasServingUnits(C16), IF(getServingCount(C16)&gt;0, getServingCount(C16), "Default"), "Default"), "")</text>
  </threadedComment>
  <threadedComment ref="E17" dT="2022-10-08T17:48:37.68" personId="{1B94FF52-5022-4EE0-8F6A-82F0B04ED37D}" id="{31895700-BBA9-44BF-BAC4-FB2C57DD6844}">
    <text>=IF(LEN(C16)&gt;0, IF(hasServingUnits(C16), getServingUnits(C16), ""), "")</text>
  </threadedComment>
  <threadedComment ref="F17" dT="2022-10-08T17:48:48.63" personId="{1B94FF52-5022-4EE0-8F6A-82F0B04ED37D}" id="{F83BF998-E0C3-42B2-B811-B0C5E54E14DB}">
    <text>=calculateVeggie($C16, $D16, F$14)</text>
  </threadedComment>
  <threadedComment ref="D35" dT="2022-10-08T17:48:57.23" personId="{1B94FF52-5022-4EE0-8F6A-82F0B04ED37D}" id="{B6B9D2DD-F0E7-4BE6-ABD0-691891D0CE04}">
    <text>=IF(LEN(C34)&gt;0, IF(hasServingUnits(C34), IF(getServingCount(C34)&gt;0, getServingCount(C34), "Default"), "Default"), "")</text>
  </threadedComment>
  <threadedComment ref="E35" dT="2022-10-08T17:49:04.35" personId="{1B94FF52-5022-4EE0-8F6A-82F0B04ED37D}" id="{BD0F0DB2-6F1C-4DA3-8002-F55C0652B419}">
    <text>=IF(LEN(C34)&gt;0, IF(hasServingUnits(C34), getServingUnits(C34), ""), "")</text>
  </threadedComment>
  <threadedComment ref="F35" dT="2022-10-08T17:49:11.05" personId="{1B94FF52-5022-4EE0-8F6A-82F0B04ED37D}" id="{1EF0403B-6B9B-48FA-A139-EE2B3D67D677}">
    <text>=calculateCheese($C34, $D34, F$32)</text>
  </threadedComment>
</ThreadedComments>
</file>

<file path=xl/threadedComments/threadedComment3.xml><?xml version="1.0" encoding="utf-8"?>
<ThreadedComments xmlns="http://schemas.microsoft.com/office/spreadsheetml/2018/threadedcomments" xmlns:x="http://schemas.openxmlformats.org/spreadsheetml/2006/main">
  <threadedComment ref="D30" dT="2022-10-08T17:57:29.29" personId="{1B94FF52-5022-4EE0-8F6A-82F0B04ED37D}" id="{36B9A9AA-3404-41EE-B9A4-ED04CF9640F0}">
    <text>=IFERROR(FILTER(VegCalc[Vegetables selected], TRUE=VegCalc[TRUE / FALSE]), "")</text>
  </threadedComment>
  <threadedComment ref="E30" dT="2022-10-08T17:57:37.17" personId="{1B94FF52-5022-4EE0-8F6A-82F0B04ED37D}" id="{2550A2F3-A49A-4B5D-ADDC-1B32BD70D0D5}">
    <text>=IFERROR(FILTER(CheeseCalc[Cheese selected], TRUE=CheeseCalc[TRUE / FALSE]), "")</text>
  </threadedComment>
  <threadedComment ref="F30" dT="2022-10-08T17:58:00.96" personId="{1B94FF52-5022-4EE0-8F6A-82F0B04ED37D}" id="{7E70BD00-FD10-4B72-8634-E24375C1EFE0}">
    <text>=IFERROR(FILTER(SeasoningCalc[Seasoning], TRUE=SeasoningCalc[TRUE / FALSE]), "")</text>
  </threadedComment>
  <threadedComment ref="G30" dT="2022-10-08T17:58:28.13" personId="{1B94FF52-5022-4EE0-8F6A-82F0B04ED37D}" id="{D69FBB32-880B-47E6-8C40-1B8D90FAEC8E}">
    <text>=IFERROR(FILTER(ToppingCalc[Toppings selected], TRUE=ToppingCalc[TRUE / FALSE]), "")</text>
  </threadedComment>
</ThreadedComments>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hyperlink" Target="http://www.subway.com/en-NZ" TargetMode="External"/></Relationships>
</file>

<file path=xl/worksheets/_rels/sheet4.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 Id="rId9" Type="http://schemas.microsoft.com/office/2017/10/relationships/threadedComment" Target="../threadedComments/threadedComment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table" Target="../tables/table7.xml"/></Relationships>
</file>

<file path=xl/worksheets/_rels/sheet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table" Target="../tables/table12.xml"/><Relationship Id="rId1" Type="http://schemas.openxmlformats.org/officeDocument/2006/relationships/printerSettings" Target="../printerSettings/printerSettings3.bin"/><Relationship Id="rId4" Type="http://schemas.openxmlformats.org/officeDocument/2006/relationships/table" Target="../tables/table14.xml"/></Relationships>
</file>

<file path=xl/worksheets/_rels/sheet1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7" Type="http://schemas.openxmlformats.org/officeDocument/2006/relationships/ctrlProp" Target="../ctrlProps/ctrlProp4.xml"/><Relationship Id="rId2" Type="http://schemas.openxmlformats.org/officeDocument/2006/relationships/drawing" Target="../drawings/drawing2.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2.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0" Type="http://schemas.openxmlformats.org/officeDocument/2006/relationships/ctrlProp" Target="../ctrlProps/ctrlProp17.xml"/><Relationship Id="rId41" Type="http://schemas.openxmlformats.org/officeDocument/2006/relationships/ctrlProp" Target="../ctrlProps/ctrlProp38.xml"/><Relationship Id="rId1" Type="http://schemas.openxmlformats.org/officeDocument/2006/relationships/printerSettings" Target="../printerSettings/printerSettings4.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5" Type="http://schemas.microsoft.com/office/2017/10/relationships/threadedComment" Target="../threadedComments/threadedComment2.xml"/><Relationship Id="rId4" Type="http://schemas.openxmlformats.org/officeDocument/2006/relationships/comments" Target="../comments2.xml"/></Relationships>
</file>

<file path=xl/worksheets/_rels/sheet13.xml.rels><?xml version="1.0" encoding="UTF-8" standalone="yes"?>
<Relationships xmlns="http://schemas.openxmlformats.org/package/2006/relationships"><Relationship Id="rId8" Type="http://schemas.openxmlformats.org/officeDocument/2006/relationships/table" Target="../tables/table21.xml"/><Relationship Id="rId3" Type="http://schemas.openxmlformats.org/officeDocument/2006/relationships/table" Target="../tables/table16.xml"/><Relationship Id="rId7" Type="http://schemas.openxmlformats.org/officeDocument/2006/relationships/table" Target="../tables/table20.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6" Type="http://schemas.openxmlformats.org/officeDocument/2006/relationships/table" Target="../tables/table19.xml"/><Relationship Id="rId5" Type="http://schemas.openxmlformats.org/officeDocument/2006/relationships/table" Target="../tables/table18.xml"/><Relationship Id="rId10" Type="http://schemas.microsoft.com/office/2017/10/relationships/threadedComment" Target="../threadedComments/threadedComment3.xml"/><Relationship Id="rId4" Type="http://schemas.openxmlformats.org/officeDocument/2006/relationships/table" Target="../tables/table17.xml"/><Relationship Id="rId9" Type="http://schemas.openxmlformats.org/officeDocument/2006/relationships/comments" Target="../comments3.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K48"/>
  <sheetViews>
    <sheetView topLeftCell="A3" zoomScale="220" zoomScaleNormal="145" workbookViewId="0">
      <selection activeCell="B2" sqref="B2:K2"/>
    </sheetView>
  </sheetViews>
  <sheetFormatPr defaultRowHeight="13" x14ac:dyDescent="0.3"/>
  <cols>
    <col min="1" max="1" width="61.09765625" customWidth="1"/>
    <col min="2" max="11" width="6.19921875" customWidth="1"/>
  </cols>
  <sheetData>
    <row r="1" spans="1:11" ht="94.75" customHeight="1" x14ac:dyDescent="0.3">
      <c r="A1" s="169"/>
      <c r="B1" s="170"/>
      <c r="C1" s="170"/>
      <c r="D1" s="170"/>
      <c r="E1" s="170"/>
      <c r="F1" s="170"/>
      <c r="G1" s="170"/>
      <c r="H1" s="170"/>
      <c r="I1" s="170"/>
      <c r="J1" s="170"/>
      <c r="K1" s="171"/>
    </row>
    <row r="2" spans="1:11" ht="141.75" customHeight="1" x14ac:dyDescent="0.25">
      <c r="A2" s="1" t="s">
        <v>0</v>
      </c>
      <c r="B2" s="2" t="s">
        <v>1</v>
      </c>
      <c r="C2" s="3" t="s">
        <v>2</v>
      </c>
      <c r="D2" s="2" t="s">
        <v>3</v>
      </c>
      <c r="E2" s="3" t="s">
        <v>4</v>
      </c>
      <c r="F2" s="2" t="s">
        <v>5</v>
      </c>
      <c r="G2" s="3" t="s">
        <v>6</v>
      </c>
      <c r="H2" s="2" t="s">
        <v>7</v>
      </c>
      <c r="I2" s="3" t="s">
        <v>8</v>
      </c>
      <c r="J2" s="2" t="s">
        <v>9</v>
      </c>
      <c r="K2" s="3" t="s">
        <v>10</v>
      </c>
    </row>
    <row r="3" spans="1:11" ht="29.25" customHeight="1" x14ac:dyDescent="0.3">
      <c r="A3" s="172" t="s">
        <v>11</v>
      </c>
      <c r="B3" s="173"/>
      <c r="C3" s="173"/>
      <c r="D3" s="173"/>
      <c r="E3" s="173"/>
      <c r="F3" s="173"/>
      <c r="G3" s="173"/>
      <c r="H3" s="173"/>
      <c r="I3" s="173"/>
      <c r="J3" s="173"/>
      <c r="K3" s="174"/>
    </row>
    <row r="4" spans="1:11" ht="10.25" customHeight="1" x14ac:dyDescent="0.3">
      <c r="A4" s="4" t="s">
        <v>12</v>
      </c>
      <c r="B4" s="5">
        <v>243</v>
      </c>
      <c r="C4" s="6">
        <v>1240</v>
      </c>
      <c r="D4" s="5">
        <v>296</v>
      </c>
      <c r="E4" s="7">
        <v>23.1</v>
      </c>
      <c r="F4" s="8">
        <v>4.0999999999999996</v>
      </c>
      <c r="G4" s="7">
        <v>1</v>
      </c>
      <c r="H4" s="8">
        <v>41.4</v>
      </c>
      <c r="I4" s="7">
        <v>7.5</v>
      </c>
      <c r="J4" s="8">
        <v>4</v>
      </c>
      <c r="K4" s="6">
        <v>1100</v>
      </c>
    </row>
    <row r="5" spans="1:11" ht="10.25" customHeight="1" x14ac:dyDescent="0.3">
      <c r="A5" s="4" t="s">
        <v>13</v>
      </c>
      <c r="B5" s="5">
        <v>266</v>
      </c>
      <c r="C5" s="6">
        <v>1920</v>
      </c>
      <c r="D5" s="5">
        <v>458</v>
      </c>
      <c r="E5" s="7">
        <v>30.1</v>
      </c>
      <c r="F5" s="8">
        <v>19.8</v>
      </c>
      <c r="G5" s="7">
        <v>6</v>
      </c>
      <c r="H5" s="8">
        <v>40</v>
      </c>
      <c r="I5" s="7">
        <v>6.2</v>
      </c>
      <c r="J5" s="8">
        <v>4</v>
      </c>
      <c r="K5" s="6">
        <v>985</v>
      </c>
    </row>
    <row r="6" spans="1:11" ht="10.25" customHeight="1" x14ac:dyDescent="0.3">
      <c r="A6" s="4" t="s">
        <v>14</v>
      </c>
      <c r="B6" s="5">
        <v>218</v>
      </c>
      <c r="C6" s="6">
        <v>1420</v>
      </c>
      <c r="D6" s="5">
        <v>339</v>
      </c>
      <c r="E6" s="7">
        <v>17.899999999999999</v>
      </c>
      <c r="F6" s="8">
        <v>10.3</v>
      </c>
      <c r="G6" s="7">
        <v>2</v>
      </c>
      <c r="H6" s="8">
        <v>41.2</v>
      </c>
      <c r="I6" s="7">
        <v>5.2</v>
      </c>
      <c r="J6" s="8">
        <v>3</v>
      </c>
      <c r="K6" s="6">
        <v>639</v>
      </c>
    </row>
    <row r="7" spans="1:11" ht="10.25" customHeight="1" x14ac:dyDescent="0.3">
      <c r="A7" s="4" t="s">
        <v>15</v>
      </c>
      <c r="B7" s="5">
        <v>222</v>
      </c>
      <c r="C7" s="6">
        <v>1170</v>
      </c>
      <c r="D7" s="5">
        <v>281</v>
      </c>
      <c r="E7" s="7">
        <v>22.8</v>
      </c>
      <c r="F7" s="8">
        <v>4</v>
      </c>
      <c r="G7" s="7">
        <v>0.9</v>
      </c>
      <c r="H7" s="8">
        <v>38.5</v>
      </c>
      <c r="I7" s="7">
        <v>5.3</v>
      </c>
      <c r="J7" s="8">
        <v>3.9</v>
      </c>
      <c r="K7" s="6">
        <v>517</v>
      </c>
    </row>
    <row r="8" spans="1:11" ht="10.25" customHeight="1" x14ac:dyDescent="0.3">
      <c r="A8" s="4" t="s">
        <v>16</v>
      </c>
      <c r="B8" s="5">
        <v>243</v>
      </c>
      <c r="C8" s="6">
        <v>1310</v>
      </c>
      <c r="D8" s="5">
        <v>313</v>
      </c>
      <c r="E8" s="7">
        <v>22.9</v>
      </c>
      <c r="F8" s="8">
        <v>4.0999999999999996</v>
      </c>
      <c r="G8" s="7">
        <v>0.9</v>
      </c>
      <c r="H8" s="8">
        <v>45.9</v>
      </c>
      <c r="I8" s="7">
        <v>9.6</v>
      </c>
      <c r="J8" s="8">
        <v>3.9</v>
      </c>
      <c r="K8" s="6">
        <v>712</v>
      </c>
    </row>
    <row r="9" spans="1:11" ht="10.25" customHeight="1" x14ac:dyDescent="0.3">
      <c r="A9" s="4" t="s">
        <v>17</v>
      </c>
      <c r="B9" s="5">
        <v>214</v>
      </c>
      <c r="C9" s="6">
        <v>1570</v>
      </c>
      <c r="D9" s="5">
        <v>374</v>
      </c>
      <c r="E9" s="7">
        <v>20.100000000000001</v>
      </c>
      <c r="F9" s="8">
        <v>14.6</v>
      </c>
      <c r="G9" s="7">
        <v>5.2</v>
      </c>
      <c r="H9" s="8">
        <v>39.4</v>
      </c>
      <c r="I9" s="7">
        <v>5.4</v>
      </c>
      <c r="J9" s="8">
        <v>3</v>
      </c>
      <c r="K9" s="6">
        <v>1010</v>
      </c>
    </row>
    <row r="10" spans="1:11" ht="10.25" customHeight="1" x14ac:dyDescent="0.3">
      <c r="A10" s="4" t="s">
        <v>18</v>
      </c>
      <c r="B10" s="5">
        <v>198</v>
      </c>
      <c r="C10" s="6">
        <v>1060</v>
      </c>
      <c r="D10" s="5">
        <v>252</v>
      </c>
      <c r="E10" s="7">
        <v>15.4</v>
      </c>
      <c r="F10" s="8">
        <v>3.5</v>
      </c>
      <c r="G10" s="7">
        <v>0.8</v>
      </c>
      <c r="H10" s="8">
        <v>38.5</v>
      </c>
      <c r="I10" s="7">
        <v>5.3</v>
      </c>
      <c r="J10" s="8">
        <v>3</v>
      </c>
      <c r="K10" s="6">
        <v>689</v>
      </c>
    </row>
    <row r="11" spans="1:11" ht="10.25" customHeight="1" x14ac:dyDescent="0.3">
      <c r="A11" s="4" t="s">
        <v>19</v>
      </c>
      <c r="B11" s="5">
        <v>297</v>
      </c>
      <c r="C11" s="6">
        <v>1710</v>
      </c>
      <c r="D11" s="5">
        <v>409</v>
      </c>
      <c r="E11" s="7">
        <v>22.5</v>
      </c>
      <c r="F11" s="8">
        <v>12.3</v>
      </c>
      <c r="G11" s="7">
        <v>5.3</v>
      </c>
      <c r="H11" s="8">
        <v>47.7</v>
      </c>
      <c r="I11" s="7">
        <v>9.8000000000000007</v>
      </c>
      <c r="J11" s="8">
        <v>4.5</v>
      </c>
      <c r="K11" s="6">
        <v>794</v>
      </c>
    </row>
    <row r="12" spans="1:11" ht="10.25" customHeight="1" x14ac:dyDescent="0.3">
      <c r="A12" s="4" t="s">
        <v>20</v>
      </c>
      <c r="B12" s="5">
        <v>229</v>
      </c>
      <c r="C12" s="6">
        <v>1710</v>
      </c>
      <c r="D12" s="5">
        <v>409</v>
      </c>
      <c r="E12" s="7">
        <v>20.7</v>
      </c>
      <c r="F12" s="8">
        <v>17.399999999999999</v>
      </c>
      <c r="G12" s="7">
        <v>7.1</v>
      </c>
      <c r="H12" s="8">
        <v>40.799999999999997</v>
      </c>
      <c r="I12" s="7">
        <v>6.6</v>
      </c>
      <c r="J12" s="8">
        <v>3.5</v>
      </c>
      <c r="K12" s="6">
        <v>928</v>
      </c>
    </row>
    <row r="13" spans="1:11" ht="10.25" customHeight="1" x14ac:dyDescent="0.3">
      <c r="A13" s="4" t="s">
        <v>21</v>
      </c>
      <c r="B13" s="5">
        <v>256</v>
      </c>
      <c r="C13" s="6">
        <v>1910</v>
      </c>
      <c r="D13" s="5">
        <v>455</v>
      </c>
      <c r="E13" s="7">
        <v>19.899999999999999</v>
      </c>
      <c r="F13" s="8">
        <v>20</v>
      </c>
      <c r="G13" s="7">
        <v>6.6</v>
      </c>
      <c r="H13" s="8">
        <v>47.7</v>
      </c>
      <c r="I13" s="7">
        <v>10.6</v>
      </c>
      <c r="J13" s="8">
        <v>4.0999999999999996</v>
      </c>
      <c r="K13" s="6">
        <v>1021</v>
      </c>
    </row>
    <row r="14" spans="1:11" ht="10.25" customHeight="1" x14ac:dyDescent="0.3">
      <c r="A14" s="4" t="s">
        <v>22</v>
      </c>
      <c r="B14" s="5">
        <v>206</v>
      </c>
      <c r="C14" s="6">
        <v>1120</v>
      </c>
      <c r="D14" s="5">
        <v>267</v>
      </c>
      <c r="E14" s="7">
        <v>16.600000000000001</v>
      </c>
      <c r="F14" s="8">
        <v>3.8</v>
      </c>
      <c r="G14" s="7">
        <v>1</v>
      </c>
      <c r="H14" s="8">
        <v>39.200000000000003</v>
      </c>
      <c r="I14" s="7">
        <v>5.7</v>
      </c>
      <c r="J14" s="8">
        <v>3</v>
      </c>
      <c r="K14" s="6">
        <v>510</v>
      </c>
    </row>
    <row r="15" spans="1:11" ht="10.25" customHeight="1" x14ac:dyDescent="0.3">
      <c r="A15" s="4" t="s">
        <v>23</v>
      </c>
      <c r="B15" s="5">
        <v>233</v>
      </c>
      <c r="C15" s="6">
        <v>1570</v>
      </c>
      <c r="D15" s="5">
        <v>375</v>
      </c>
      <c r="E15" s="7">
        <v>15</v>
      </c>
      <c r="F15" s="8">
        <v>8.1999999999999993</v>
      </c>
      <c r="G15" s="7">
        <v>1.3</v>
      </c>
      <c r="H15" s="8">
        <v>55.5</v>
      </c>
      <c r="I15" s="7">
        <v>8.6</v>
      </c>
      <c r="J15" s="8">
        <v>6.2</v>
      </c>
      <c r="K15" s="6">
        <v>911</v>
      </c>
    </row>
    <row r="16" spans="1:11" ht="10.25" customHeight="1" x14ac:dyDescent="0.3">
      <c r="A16" s="4" t="s">
        <v>24</v>
      </c>
      <c r="B16" s="5">
        <v>236</v>
      </c>
      <c r="C16" s="6">
        <v>1490</v>
      </c>
      <c r="D16" s="5">
        <v>357</v>
      </c>
      <c r="E16" s="7">
        <v>26.6</v>
      </c>
      <c r="F16" s="8">
        <v>9.6</v>
      </c>
      <c r="G16" s="7">
        <v>4.4000000000000004</v>
      </c>
      <c r="H16" s="8">
        <v>38.6</v>
      </c>
      <c r="I16" s="7">
        <v>5.3</v>
      </c>
      <c r="J16" s="8">
        <v>3</v>
      </c>
      <c r="K16" s="6">
        <v>676</v>
      </c>
    </row>
    <row r="17" spans="1:11" ht="10.25" customHeight="1" x14ac:dyDescent="0.3">
      <c r="A17" s="4" t="s">
        <v>25</v>
      </c>
      <c r="B17" s="5">
        <v>263</v>
      </c>
      <c r="C17" s="6">
        <v>1790</v>
      </c>
      <c r="D17" s="5">
        <v>427</v>
      </c>
      <c r="E17" s="7">
        <v>29.2</v>
      </c>
      <c r="F17" s="8">
        <v>14.1</v>
      </c>
      <c r="G17" s="7">
        <v>2.4</v>
      </c>
      <c r="H17" s="8">
        <v>47.4</v>
      </c>
      <c r="I17" s="7">
        <v>5.5</v>
      </c>
      <c r="J17" s="8">
        <v>3</v>
      </c>
      <c r="K17" s="6">
        <v>858</v>
      </c>
    </row>
    <row r="18" spans="1:11" ht="10.25" customHeight="1" x14ac:dyDescent="0.3">
      <c r="A18" s="4" t="s">
        <v>26</v>
      </c>
      <c r="B18" s="5">
        <v>222</v>
      </c>
      <c r="C18" s="6">
        <v>1200</v>
      </c>
      <c r="D18" s="5">
        <v>288</v>
      </c>
      <c r="E18" s="7">
        <v>18.600000000000001</v>
      </c>
      <c r="F18" s="8">
        <v>4.5</v>
      </c>
      <c r="G18" s="7">
        <v>0.8</v>
      </c>
      <c r="H18" s="8">
        <v>41.6</v>
      </c>
      <c r="I18" s="7">
        <v>7.2</v>
      </c>
      <c r="J18" s="8">
        <v>3</v>
      </c>
      <c r="K18" s="6">
        <v>520</v>
      </c>
    </row>
    <row r="19" spans="1:11" ht="10.25" customHeight="1" x14ac:dyDescent="0.3">
      <c r="A19" s="4" t="s">
        <v>27</v>
      </c>
      <c r="B19" s="5">
        <v>212</v>
      </c>
      <c r="C19" s="6">
        <v>1130</v>
      </c>
      <c r="D19" s="5">
        <v>270</v>
      </c>
      <c r="E19" s="7">
        <v>19.8</v>
      </c>
      <c r="F19" s="8">
        <v>2.8</v>
      </c>
      <c r="G19" s="7">
        <v>0.8</v>
      </c>
      <c r="H19" s="8">
        <v>39.4</v>
      </c>
      <c r="I19" s="7">
        <v>5.2</v>
      </c>
      <c r="J19" s="8">
        <v>3</v>
      </c>
      <c r="K19" s="6">
        <v>607</v>
      </c>
    </row>
    <row r="20" spans="1:11" ht="10.25" customHeight="1" x14ac:dyDescent="0.3">
      <c r="A20" s="4" t="s">
        <v>28</v>
      </c>
      <c r="B20" s="5">
        <v>193</v>
      </c>
      <c r="C20" s="6">
        <v>1130</v>
      </c>
      <c r="D20" s="5">
        <v>271</v>
      </c>
      <c r="E20" s="7">
        <v>9.5</v>
      </c>
      <c r="F20" s="8">
        <v>7.6</v>
      </c>
      <c r="G20" s="7">
        <v>1</v>
      </c>
      <c r="H20" s="8">
        <v>41.4</v>
      </c>
      <c r="I20" s="7">
        <v>4.7</v>
      </c>
      <c r="J20" s="8">
        <v>3</v>
      </c>
      <c r="K20" s="6">
        <v>249</v>
      </c>
    </row>
    <row r="21" spans="1:11" ht="10.25" customHeight="1" x14ac:dyDescent="0.3">
      <c r="A21" s="4" t="s">
        <v>29</v>
      </c>
      <c r="B21" s="5">
        <v>248</v>
      </c>
      <c r="C21" s="6">
        <v>1690</v>
      </c>
      <c r="D21" s="5">
        <v>404</v>
      </c>
      <c r="E21" s="7">
        <v>16</v>
      </c>
      <c r="F21" s="8">
        <v>11.7</v>
      </c>
      <c r="G21" s="7">
        <v>2.2000000000000002</v>
      </c>
      <c r="H21" s="8">
        <v>54.4</v>
      </c>
      <c r="I21" s="7">
        <v>7.3</v>
      </c>
      <c r="J21" s="8">
        <v>9.1999999999999993</v>
      </c>
      <c r="K21" s="6">
        <v>573</v>
      </c>
    </row>
    <row r="22" spans="1:11" ht="29.25" customHeight="1" x14ac:dyDescent="0.3">
      <c r="A22" s="172" t="s">
        <v>30</v>
      </c>
      <c r="B22" s="173"/>
      <c r="C22" s="173"/>
      <c r="D22" s="173"/>
      <c r="E22" s="173"/>
      <c r="F22" s="173"/>
      <c r="G22" s="173"/>
      <c r="H22" s="173"/>
      <c r="I22" s="173"/>
      <c r="J22" s="173"/>
      <c r="K22" s="174"/>
    </row>
    <row r="23" spans="1:11" ht="10.25" customHeight="1" x14ac:dyDescent="0.3">
      <c r="A23" s="4" t="s">
        <v>18</v>
      </c>
      <c r="B23" s="5">
        <v>125</v>
      </c>
      <c r="C23" s="6">
        <v>675</v>
      </c>
      <c r="D23" s="5">
        <v>161</v>
      </c>
      <c r="E23" s="7">
        <v>9.1</v>
      </c>
      <c r="F23" s="8">
        <v>2.1</v>
      </c>
      <c r="G23" s="7">
        <v>0.4</v>
      </c>
      <c r="H23" s="8">
        <v>25.5</v>
      </c>
      <c r="I23" s="7">
        <v>3.5</v>
      </c>
      <c r="J23" s="8">
        <v>2</v>
      </c>
      <c r="K23" s="6">
        <v>386</v>
      </c>
    </row>
    <row r="24" spans="1:11" ht="10.25" customHeight="1" x14ac:dyDescent="0.3">
      <c r="A24" s="4" t="s">
        <v>22</v>
      </c>
      <c r="B24" s="5">
        <v>138</v>
      </c>
      <c r="C24" s="6">
        <v>750</v>
      </c>
      <c r="D24" s="5">
        <v>179</v>
      </c>
      <c r="E24" s="7">
        <v>11.3</v>
      </c>
      <c r="F24" s="8">
        <v>2.6</v>
      </c>
      <c r="G24" s="7">
        <v>0.7</v>
      </c>
      <c r="H24" s="8">
        <v>26.1</v>
      </c>
      <c r="I24" s="7">
        <v>3.8</v>
      </c>
      <c r="J24" s="8">
        <v>2</v>
      </c>
      <c r="K24" s="6">
        <v>345</v>
      </c>
    </row>
    <row r="25" spans="1:11" ht="10.25" customHeight="1" x14ac:dyDescent="0.3">
      <c r="A25" s="4" t="s">
        <v>31</v>
      </c>
      <c r="B25" s="5">
        <v>132</v>
      </c>
      <c r="C25" s="6">
        <v>709</v>
      </c>
      <c r="D25" s="5">
        <v>170</v>
      </c>
      <c r="E25" s="7">
        <v>11.3</v>
      </c>
      <c r="F25" s="8">
        <v>1.8</v>
      </c>
      <c r="G25" s="7">
        <v>0.5</v>
      </c>
      <c r="H25" s="8">
        <v>25.8</v>
      </c>
      <c r="I25" s="7">
        <v>21.3</v>
      </c>
      <c r="J25" s="8">
        <v>2</v>
      </c>
      <c r="K25" s="6">
        <v>345</v>
      </c>
    </row>
    <row r="26" spans="1:11" ht="10.25" customHeight="1" x14ac:dyDescent="0.3">
      <c r="A26" s="4" t="s">
        <v>28</v>
      </c>
      <c r="B26" s="5">
        <v>130</v>
      </c>
      <c r="C26" s="6">
        <v>766</v>
      </c>
      <c r="D26" s="5">
        <v>183</v>
      </c>
      <c r="E26" s="7">
        <v>6.4</v>
      </c>
      <c r="F26" s="8">
        <v>5.3</v>
      </c>
      <c r="G26" s="7">
        <v>0.7</v>
      </c>
      <c r="H26" s="8">
        <v>27.7</v>
      </c>
      <c r="I26" s="7">
        <v>3.2</v>
      </c>
      <c r="J26" s="8">
        <v>2</v>
      </c>
      <c r="K26" s="6">
        <v>166</v>
      </c>
    </row>
    <row r="27" spans="1:11" ht="11" customHeight="1" x14ac:dyDescent="0.3">
      <c r="A27" s="166" t="s">
        <v>32</v>
      </c>
      <c r="B27" s="167"/>
      <c r="C27" s="167"/>
      <c r="D27" s="167"/>
      <c r="E27" s="167"/>
      <c r="F27" s="167"/>
      <c r="G27" s="167"/>
      <c r="H27" s="167"/>
      <c r="I27" s="167"/>
      <c r="J27" s="167"/>
      <c r="K27" s="168"/>
    </row>
    <row r="28" spans="1:11" ht="10.25" customHeight="1" x14ac:dyDescent="0.3">
      <c r="A28" s="4" t="s">
        <v>33</v>
      </c>
      <c r="B28" s="5">
        <v>202</v>
      </c>
      <c r="C28" s="6">
        <v>1540</v>
      </c>
      <c r="D28" s="5">
        <v>369</v>
      </c>
      <c r="E28" s="7">
        <v>21.1</v>
      </c>
      <c r="F28" s="8">
        <v>14</v>
      </c>
      <c r="G28" s="7">
        <v>5.7</v>
      </c>
      <c r="H28" s="8">
        <v>37.9</v>
      </c>
      <c r="I28" s="7">
        <v>4.5999999999999996</v>
      </c>
      <c r="J28" s="8">
        <v>2.7</v>
      </c>
      <c r="K28" s="6">
        <v>718</v>
      </c>
    </row>
    <row r="29" spans="1:11" ht="10.25" customHeight="1" x14ac:dyDescent="0.3">
      <c r="A29" s="4" t="s">
        <v>34</v>
      </c>
      <c r="B29" s="5">
        <v>193</v>
      </c>
      <c r="C29" s="6">
        <v>1360</v>
      </c>
      <c r="D29" s="5">
        <v>324</v>
      </c>
      <c r="E29" s="7">
        <v>17.899999999999999</v>
      </c>
      <c r="F29" s="8">
        <v>10.7</v>
      </c>
      <c r="G29" s="7">
        <v>4.2</v>
      </c>
      <c r="H29" s="8">
        <v>37.799999999999997</v>
      </c>
      <c r="I29" s="7">
        <v>4.5</v>
      </c>
      <c r="J29" s="8">
        <v>2.7</v>
      </c>
      <c r="K29" s="6">
        <v>521</v>
      </c>
    </row>
    <row r="30" spans="1:11" ht="10.25" customHeight="1" x14ac:dyDescent="0.3">
      <c r="A30" s="4" t="s">
        <v>35</v>
      </c>
      <c r="B30" s="5">
        <v>233</v>
      </c>
      <c r="C30" s="6">
        <v>1520</v>
      </c>
      <c r="D30" s="5">
        <v>364</v>
      </c>
      <c r="E30" s="7">
        <v>24.9</v>
      </c>
      <c r="F30" s="8">
        <v>11.8</v>
      </c>
      <c r="G30" s="7">
        <v>4.5999999999999996</v>
      </c>
      <c r="H30" s="8">
        <v>38.4</v>
      </c>
      <c r="I30" s="7">
        <v>5.0999999999999996</v>
      </c>
      <c r="J30" s="8">
        <v>2.7</v>
      </c>
      <c r="K30" s="6">
        <v>960</v>
      </c>
    </row>
    <row r="31" spans="1:11" ht="10.25" customHeight="1" x14ac:dyDescent="0.3">
      <c r="A31" s="4" t="s">
        <v>36</v>
      </c>
      <c r="B31" s="5">
        <v>257</v>
      </c>
      <c r="C31" s="6">
        <v>1790</v>
      </c>
      <c r="D31" s="5">
        <v>428</v>
      </c>
      <c r="E31" s="7">
        <v>32.299999999999997</v>
      </c>
      <c r="F31" s="8">
        <v>15.1</v>
      </c>
      <c r="G31" s="7">
        <v>6.2</v>
      </c>
      <c r="H31" s="8">
        <v>38.4</v>
      </c>
      <c r="I31" s="7">
        <v>5</v>
      </c>
      <c r="J31" s="8">
        <v>2.7</v>
      </c>
      <c r="K31" s="6">
        <v>879</v>
      </c>
    </row>
    <row r="32" spans="1:11" ht="11" customHeight="1" x14ac:dyDescent="0.3">
      <c r="A32" s="166" t="s">
        <v>37</v>
      </c>
      <c r="B32" s="167"/>
      <c r="C32" s="167"/>
      <c r="D32" s="167"/>
      <c r="E32" s="167"/>
      <c r="F32" s="167"/>
      <c r="G32" s="167"/>
      <c r="H32" s="167"/>
      <c r="I32" s="167"/>
      <c r="J32" s="167"/>
      <c r="K32" s="168"/>
    </row>
    <row r="33" spans="1:11" ht="10.25" customHeight="1" x14ac:dyDescent="0.3">
      <c r="A33" s="4" t="s">
        <v>38</v>
      </c>
      <c r="B33" s="5">
        <v>137</v>
      </c>
      <c r="C33" s="6">
        <v>1310</v>
      </c>
      <c r="D33" s="5">
        <v>312</v>
      </c>
      <c r="E33" s="7">
        <v>9.6999999999999993</v>
      </c>
      <c r="F33" s="8">
        <v>12.6</v>
      </c>
      <c r="G33" s="7">
        <v>1.5</v>
      </c>
      <c r="H33" s="8">
        <v>42.2</v>
      </c>
      <c r="I33" s="7">
        <v>2.7</v>
      </c>
      <c r="J33" s="8">
        <v>1.8</v>
      </c>
      <c r="K33" s="6">
        <v>239</v>
      </c>
    </row>
    <row r="34" spans="1:11" ht="10.25" customHeight="1" x14ac:dyDescent="0.3">
      <c r="A34" s="4" t="s">
        <v>39</v>
      </c>
      <c r="B34" s="5">
        <v>123</v>
      </c>
      <c r="C34" s="6">
        <v>1500</v>
      </c>
      <c r="D34" s="5">
        <v>359</v>
      </c>
      <c r="E34" s="7">
        <v>16.399999999999999</v>
      </c>
      <c r="F34" s="8">
        <v>14.4</v>
      </c>
      <c r="G34" s="7">
        <v>5.8</v>
      </c>
      <c r="H34" s="8">
        <v>39.299999999999997</v>
      </c>
      <c r="I34" s="7">
        <v>3.8</v>
      </c>
      <c r="J34" s="8">
        <v>2.1</v>
      </c>
      <c r="K34" s="6">
        <v>737</v>
      </c>
    </row>
    <row r="35" spans="1:11" ht="10.25" customHeight="1" x14ac:dyDescent="0.3">
      <c r="A35" s="4" t="s">
        <v>40</v>
      </c>
      <c r="B35" s="8">
        <v>94</v>
      </c>
      <c r="C35" s="6">
        <v>1110</v>
      </c>
      <c r="D35" s="5">
        <v>266</v>
      </c>
      <c r="E35" s="7">
        <v>9.6</v>
      </c>
      <c r="F35" s="8">
        <v>16.899999999999999</v>
      </c>
      <c r="G35" s="7">
        <v>5</v>
      </c>
      <c r="H35" s="8">
        <v>19.3</v>
      </c>
      <c r="I35" s="7">
        <v>2.2999999999999998</v>
      </c>
      <c r="J35" s="8">
        <v>3.5</v>
      </c>
      <c r="K35" s="6">
        <v>378</v>
      </c>
    </row>
    <row r="36" spans="1:11" ht="10.25" customHeight="1" x14ac:dyDescent="0.3">
      <c r="A36" s="4" t="s">
        <v>41</v>
      </c>
      <c r="B36" s="8">
        <v>93</v>
      </c>
      <c r="C36" s="6">
        <v>1140</v>
      </c>
      <c r="D36" s="5">
        <v>272</v>
      </c>
      <c r="E36" s="7">
        <v>8.4</v>
      </c>
      <c r="F36" s="8">
        <v>8.5</v>
      </c>
      <c r="G36" s="7">
        <v>1.5</v>
      </c>
      <c r="H36" s="8">
        <v>39.299999999999997</v>
      </c>
      <c r="I36" s="7">
        <v>3.8</v>
      </c>
      <c r="J36" s="8">
        <v>2.1</v>
      </c>
      <c r="K36" s="6">
        <v>590</v>
      </c>
    </row>
    <row r="37" spans="1:11" ht="10.25" customHeight="1" x14ac:dyDescent="0.3">
      <c r="A37" s="4" t="s">
        <v>42</v>
      </c>
      <c r="B37" s="5">
        <v>127</v>
      </c>
      <c r="C37" s="6">
        <v>1040</v>
      </c>
      <c r="D37" s="5">
        <v>248</v>
      </c>
      <c r="E37" s="7">
        <v>13.8</v>
      </c>
      <c r="F37" s="8">
        <v>6.4</v>
      </c>
      <c r="G37" s="7">
        <v>2.7</v>
      </c>
      <c r="H37" s="8">
        <v>32.5</v>
      </c>
      <c r="I37" s="7">
        <v>4.7</v>
      </c>
      <c r="J37" s="8">
        <v>1.8</v>
      </c>
      <c r="K37" s="6">
        <v>568</v>
      </c>
    </row>
    <row r="38" spans="1:11" ht="10.25" customHeight="1" x14ac:dyDescent="0.3">
      <c r="A38" s="4" t="s">
        <v>43</v>
      </c>
      <c r="B38" s="5">
        <v>194</v>
      </c>
      <c r="C38" s="6">
        <v>1060</v>
      </c>
      <c r="D38" s="5">
        <v>254</v>
      </c>
      <c r="E38" s="6">
        <v>110</v>
      </c>
      <c r="F38" s="8">
        <v>12.2</v>
      </c>
      <c r="G38" s="7">
        <v>5.4</v>
      </c>
      <c r="H38" s="8">
        <v>14.6</v>
      </c>
      <c r="I38" s="7">
        <v>7.6</v>
      </c>
      <c r="J38" s="8">
        <v>2.2000000000000002</v>
      </c>
      <c r="K38" s="6">
        <v>746</v>
      </c>
    </row>
    <row r="39" spans="1:11" ht="11" customHeight="1" x14ac:dyDescent="0.3">
      <c r="A39" s="166" t="s">
        <v>44</v>
      </c>
      <c r="B39" s="167"/>
      <c r="C39" s="167"/>
      <c r="D39" s="167"/>
      <c r="E39" s="167"/>
      <c r="F39" s="167"/>
      <c r="G39" s="167"/>
      <c r="H39" s="167"/>
      <c r="I39" s="167"/>
      <c r="J39" s="167"/>
      <c r="K39" s="168"/>
    </row>
    <row r="40" spans="1:11" ht="10.25" customHeight="1" x14ac:dyDescent="0.3">
      <c r="A40" s="4" t="s">
        <v>45</v>
      </c>
      <c r="B40" s="8">
        <v>45</v>
      </c>
      <c r="C40" s="6">
        <v>909</v>
      </c>
      <c r="D40" s="5">
        <v>217</v>
      </c>
      <c r="E40" s="7">
        <v>2.4</v>
      </c>
      <c r="F40" s="8">
        <v>10.4</v>
      </c>
      <c r="G40" s="7">
        <v>6.5</v>
      </c>
      <c r="H40" s="8">
        <v>28.5</v>
      </c>
      <c r="I40" s="7">
        <v>17.5</v>
      </c>
      <c r="J40" s="8">
        <v>0.9</v>
      </c>
      <c r="K40" s="6">
        <v>161</v>
      </c>
    </row>
    <row r="41" spans="1:11" ht="10.25" customHeight="1" x14ac:dyDescent="0.3">
      <c r="A41" s="9" t="s">
        <v>46</v>
      </c>
      <c r="B41" s="8">
        <v>45</v>
      </c>
      <c r="C41" s="6">
        <v>891</v>
      </c>
      <c r="D41" s="5">
        <v>213</v>
      </c>
      <c r="E41" s="7">
        <v>2.5</v>
      </c>
      <c r="F41" s="8">
        <v>9.8000000000000007</v>
      </c>
      <c r="G41" s="7">
        <v>5.4</v>
      </c>
      <c r="H41" s="8">
        <v>28.5</v>
      </c>
      <c r="I41" s="7">
        <v>16.7</v>
      </c>
      <c r="J41" s="8">
        <v>0.9</v>
      </c>
      <c r="K41" s="6">
        <v>172</v>
      </c>
    </row>
    <row r="42" spans="1:11" ht="10.25" customHeight="1" x14ac:dyDescent="0.3">
      <c r="A42" s="4" t="s">
        <v>47</v>
      </c>
      <c r="B42" s="8">
        <v>45</v>
      </c>
      <c r="C42" s="6">
        <v>891</v>
      </c>
      <c r="D42" s="5">
        <v>213</v>
      </c>
      <c r="E42" s="7">
        <v>2.5</v>
      </c>
      <c r="F42" s="8">
        <v>9.9</v>
      </c>
      <c r="G42" s="7">
        <v>6.8</v>
      </c>
      <c r="H42" s="8">
        <v>28.4</v>
      </c>
      <c r="I42" s="7">
        <v>18.5</v>
      </c>
      <c r="J42" s="8">
        <v>1.2</v>
      </c>
      <c r="K42" s="6">
        <v>160</v>
      </c>
    </row>
    <row r="43" spans="1:11" ht="10.25" customHeight="1" x14ac:dyDescent="0.3">
      <c r="A43" s="4" t="s">
        <v>48</v>
      </c>
      <c r="B43" s="8">
        <v>45</v>
      </c>
      <c r="C43" s="6">
        <v>796</v>
      </c>
      <c r="D43" s="5">
        <v>190</v>
      </c>
      <c r="E43" s="7">
        <v>2.5</v>
      </c>
      <c r="F43" s="8">
        <v>6.9</v>
      </c>
      <c r="G43" s="7">
        <v>3.4</v>
      </c>
      <c r="H43" s="8">
        <v>29.3</v>
      </c>
      <c r="I43" s="7">
        <v>17.5</v>
      </c>
      <c r="J43" s="8">
        <v>1.4</v>
      </c>
      <c r="K43" s="6">
        <v>176</v>
      </c>
    </row>
    <row r="44" spans="1:11" ht="10.25" customHeight="1" x14ac:dyDescent="0.3">
      <c r="A44" s="4" t="s">
        <v>49</v>
      </c>
      <c r="B44" s="8">
        <v>45</v>
      </c>
      <c r="C44" s="6">
        <v>914</v>
      </c>
      <c r="D44" s="5">
        <v>218</v>
      </c>
      <c r="E44" s="7">
        <v>2.6</v>
      </c>
      <c r="F44" s="8">
        <v>11</v>
      </c>
      <c r="G44" s="7">
        <v>6.3</v>
      </c>
      <c r="H44" s="8">
        <v>27.2</v>
      </c>
      <c r="I44" s="7">
        <v>17.3</v>
      </c>
      <c r="J44" s="8">
        <v>0.8</v>
      </c>
      <c r="K44" s="6">
        <v>196</v>
      </c>
    </row>
    <row r="45" spans="1:11" ht="11" customHeight="1" x14ac:dyDescent="0.3">
      <c r="A45" s="166" t="s">
        <v>50</v>
      </c>
      <c r="B45" s="167"/>
      <c r="C45" s="167"/>
      <c r="D45" s="167"/>
      <c r="E45" s="167"/>
      <c r="F45" s="167"/>
      <c r="G45" s="167"/>
      <c r="H45" s="167"/>
      <c r="I45" s="167"/>
      <c r="J45" s="167"/>
      <c r="K45" s="168"/>
    </row>
    <row r="46" spans="1:11" ht="10.25" customHeight="1" x14ac:dyDescent="0.3">
      <c r="A46" s="4" t="s">
        <v>51</v>
      </c>
      <c r="B46" s="5">
        <v>115</v>
      </c>
      <c r="C46" s="6">
        <v>1420</v>
      </c>
      <c r="D46" s="5">
        <v>338</v>
      </c>
      <c r="E46" s="7">
        <v>6.1</v>
      </c>
      <c r="F46" s="8">
        <v>15.5</v>
      </c>
      <c r="G46" s="7">
        <v>9.1</v>
      </c>
      <c r="H46" s="8">
        <v>42.5</v>
      </c>
      <c r="I46" s="7">
        <v>13.9</v>
      </c>
      <c r="J46" s="8">
        <v>0</v>
      </c>
      <c r="K46" s="6">
        <v>357</v>
      </c>
    </row>
    <row r="47" spans="1:11" ht="10.25" customHeight="1" x14ac:dyDescent="0.3">
      <c r="A47" s="4" t="s">
        <v>52</v>
      </c>
      <c r="B47" s="5">
        <v>115</v>
      </c>
      <c r="C47" s="6">
        <v>1380</v>
      </c>
      <c r="D47" s="5">
        <v>329</v>
      </c>
      <c r="E47" s="7">
        <v>5.6</v>
      </c>
      <c r="F47" s="8">
        <v>14.8</v>
      </c>
      <c r="G47" s="7">
        <v>8.6</v>
      </c>
      <c r="H47" s="8">
        <v>42.2</v>
      </c>
      <c r="I47" s="7">
        <v>14.3</v>
      </c>
      <c r="J47" s="8">
        <v>0</v>
      </c>
      <c r="K47" s="6">
        <v>344</v>
      </c>
    </row>
    <row r="48" spans="1:11" ht="10.25" customHeight="1" x14ac:dyDescent="0.3">
      <c r="A48" s="4" t="s">
        <v>53</v>
      </c>
      <c r="B48" s="5">
        <v>115</v>
      </c>
      <c r="C48" s="6">
        <v>1420</v>
      </c>
      <c r="D48" s="5">
        <v>338</v>
      </c>
      <c r="E48" s="7">
        <v>5.9</v>
      </c>
      <c r="F48" s="8">
        <v>36.200000000000003</v>
      </c>
      <c r="G48" s="7">
        <v>9.1</v>
      </c>
      <c r="H48" s="8">
        <v>43.1</v>
      </c>
      <c r="I48" s="7">
        <v>13.2</v>
      </c>
      <c r="J48" s="8">
        <v>0</v>
      </c>
      <c r="K48" s="6">
        <v>337</v>
      </c>
    </row>
  </sheetData>
  <mergeCells count="7">
    <mergeCell ref="A39:K39"/>
    <mergeCell ref="A45:K45"/>
    <mergeCell ref="A1:K1"/>
    <mergeCell ref="A3:K3"/>
    <mergeCell ref="A22:K22"/>
    <mergeCell ref="A27:K27"/>
    <mergeCell ref="A32:K32"/>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L79"/>
  <sheetViews>
    <sheetView topLeftCell="A71" zoomScale="145" zoomScaleNormal="145" workbookViewId="0">
      <selection activeCell="A2" sqref="A2:K2"/>
    </sheetView>
  </sheetViews>
  <sheetFormatPr defaultRowHeight="13" x14ac:dyDescent="0.3"/>
  <cols>
    <col min="1" max="1" width="61.09765625" customWidth="1"/>
    <col min="2" max="11" width="6.19921875" customWidth="1"/>
    <col min="12" max="12" width="2.8984375" customWidth="1"/>
  </cols>
  <sheetData>
    <row r="1" spans="1:11" ht="141.75" customHeight="1" x14ac:dyDescent="0.25">
      <c r="A1" s="1"/>
      <c r="B1" s="2"/>
      <c r="C1" s="3"/>
      <c r="D1" s="2"/>
      <c r="E1" s="3"/>
      <c r="F1" s="2"/>
      <c r="G1" s="3"/>
      <c r="H1" s="2"/>
      <c r="I1" s="3"/>
      <c r="J1" s="2"/>
      <c r="K1" s="3"/>
    </row>
    <row r="2" spans="1:11" ht="11" customHeight="1" x14ac:dyDescent="0.3">
      <c r="A2" s="166" t="s">
        <v>54</v>
      </c>
      <c r="B2" s="167"/>
      <c r="C2" s="167"/>
      <c r="D2" s="167"/>
      <c r="E2" s="167"/>
      <c r="F2" s="167"/>
      <c r="G2" s="167"/>
      <c r="H2" s="167"/>
      <c r="I2" s="167"/>
      <c r="J2" s="167"/>
      <c r="K2" s="168"/>
    </row>
    <row r="3" spans="1:11" ht="10.25" customHeight="1" x14ac:dyDescent="0.3">
      <c r="A3" s="4" t="s">
        <v>55</v>
      </c>
      <c r="B3" s="5">
        <v>120</v>
      </c>
      <c r="C3" s="6">
        <v>370</v>
      </c>
      <c r="D3" s="8">
        <v>88.4</v>
      </c>
      <c r="E3" s="7">
        <v>0.4</v>
      </c>
      <c r="F3" s="8">
        <v>0.2</v>
      </c>
      <c r="G3" s="7">
        <v>0</v>
      </c>
      <c r="H3" s="8">
        <v>20.3</v>
      </c>
      <c r="I3" s="7">
        <v>18.399999999999999</v>
      </c>
      <c r="J3" s="8">
        <v>1.1000000000000001</v>
      </c>
      <c r="K3" s="7">
        <v>20</v>
      </c>
    </row>
    <row r="4" spans="1:11" ht="10.25" customHeight="1" x14ac:dyDescent="0.3">
      <c r="A4" s="4" t="s">
        <v>56</v>
      </c>
      <c r="B4" s="5">
        <v>120</v>
      </c>
      <c r="C4" s="6">
        <v>340</v>
      </c>
      <c r="D4" s="8">
        <v>81.3</v>
      </c>
      <c r="E4" s="7">
        <v>0.1</v>
      </c>
      <c r="F4" s="8">
        <v>0.4</v>
      </c>
      <c r="G4" s="7">
        <v>0.1</v>
      </c>
      <c r="H4" s="8">
        <v>18.399999999999999</v>
      </c>
      <c r="I4" s="7">
        <v>16.3</v>
      </c>
      <c r="J4" s="8">
        <v>1.6</v>
      </c>
      <c r="K4" s="7">
        <v>5</v>
      </c>
    </row>
    <row r="5" spans="1:11" ht="10.25" customHeight="1" x14ac:dyDescent="0.3">
      <c r="A5" s="4" t="s">
        <v>57</v>
      </c>
      <c r="B5" s="5">
        <v>120</v>
      </c>
      <c r="C5" s="6">
        <v>340</v>
      </c>
      <c r="D5" s="8">
        <v>81.3</v>
      </c>
      <c r="E5" s="7">
        <v>0.1</v>
      </c>
      <c r="F5" s="8">
        <v>0.4</v>
      </c>
      <c r="G5" s="7">
        <v>0.1</v>
      </c>
      <c r="H5" s="8">
        <v>18.2</v>
      </c>
      <c r="I5" s="7">
        <v>16.100000000000001</v>
      </c>
      <c r="J5" s="8">
        <v>1.4</v>
      </c>
      <c r="K5" s="7">
        <v>5</v>
      </c>
    </row>
    <row r="6" spans="1:11" ht="11" customHeight="1" x14ac:dyDescent="0.3">
      <c r="A6" s="166" t="s">
        <v>58</v>
      </c>
      <c r="B6" s="167"/>
      <c r="C6" s="167"/>
      <c r="D6" s="167"/>
      <c r="E6" s="167"/>
      <c r="F6" s="167"/>
      <c r="G6" s="167"/>
      <c r="H6" s="167"/>
      <c r="I6" s="167"/>
      <c r="J6" s="167"/>
      <c r="K6" s="168"/>
    </row>
    <row r="7" spans="1:11" ht="10.25" customHeight="1" x14ac:dyDescent="0.3">
      <c r="A7" s="4" t="s">
        <v>59</v>
      </c>
      <c r="B7" s="8">
        <v>69</v>
      </c>
      <c r="C7" s="6">
        <v>814</v>
      </c>
      <c r="D7" s="5">
        <v>195</v>
      </c>
      <c r="E7" s="7">
        <v>7.5</v>
      </c>
      <c r="F7" s="8">
        <v>2.1</v>
      </c>
      <c r="G7" s="7">
        <v>0.3</v>
      </c>
      <c r="H7" s="8">
        <v>35</v>
      </c>
      <c r="I7" s="7">
        <v>2.6</v>
      </c>
      <c r="J7" s="8">
        <v>2.7</v>
      </c>
      <c r="K7" s="6">
        <v>271</v>
      </c>
    </row>
    <row r="8" spans="1:11" ht="10.25" customHeight="1" x14ac:dyDescent="0.3">
      <c r="A8" s="4" t="s">
        <v>60</v>
      </c>
      <c r="B8" s="8">
        <v>67</v>
      </c>
      <c r="C8" s="6">
        <v>817</v>
      </c>
      <c r="D8" s="5">
        <v>195</v>
      </c>
      <c r="E8" s="7">
        <v>7.4</v>
      </c>
      <c r="F8" s="8">
        <v>2.1</v>
      </c>
      <c r="G8" s="7">
        <v>0.3</v>
      </c>
      <c r="H8" s="8">
        <v>35.200000000000003</v>
      </c>
      <c r="I8" s="7">
        <v>2.7</v>
      </c>
      <c r="J8" s="8">
        <v>1.8</v>
      </c>
      <c r="K8" s="6">
        <v>239</v>
      </c>
    </row>
    <row r="9" spans="1:11" ht="10.25" customHeight="1" x14ac:dyDescent="0.3">
      <c r="A9" s="4" t="s">
        <v>61</v>
      </c>
      <c r="B9" s="8">
        <v>79</v>
      </c>
      <c r="C9" s="6">
        <v>1020</v>
      </c>
      <c r="D9" s="5">
        <v>244</v>
      </c>
      <c r="E9" s="7">
        <v>10.6</v>
      </c>
      <c r="F9" s="8">
        <v>4.5</v>
      </c>
      <c r="G9" s="7">
        <v>0.7</v>
      </c>
      <c r="H9" s="8">
        <v>37.799999999999997</v>
      </c>
      <c r="I9" s="7">
        <v>2.6</v>
      </c>
      <c r="J9" s="8">
        <v>4.7</v>
      </c>
      <c r="K9" s="6">
        <v>364</v>
      </c>
    </row>
    <row r="10" spans="1:11" ht="10.25" customHeight="1" x14ac:dyDescent="0.3">
      <c r="A10" s="4" t="s">
        <v>62</v>
      </c>
      <c r="B10" s="8">
        <v>78.400000000000006</v>
      </c>
      <c r="C10" s="6">
        <v>976</v>
      </c>
      <c r="D10" s="5">
        <v>233</v>
      </c>
      <c r="E10" s="7">
        <v>9.4</v>
      </c>
      <c r="F10" s="8">
        <v>4.5</v>
      </c>
      <c r="G10" s="7">
        <v>2</v>
      </c>
      <c r="H10" s="8">
        <v>37.4</v>
      </c>
      <c r="I10" s="7">
        <v>2.8</v>
      </c>
      <c r="J10" s="8">
        <v>2.1</v>
      </c>
      <c r="K10" s="6">
        <v>424</v>
      </c>
    </row>
    <row r="11" spans="1:11" ht="10.25" customHeight="1" x14ac:dyDescent="0.3">
      <c r="A11" s="4" t="s">
        <v>63</v>
      </c>
      <c r="B11" s="8">
        <v>77.599999999999994</v>
      </c>
      <c r="C11" s="6">
        <v>954</v>
      </c>
      <c r="D11" s="5">
        <v>228</v>
      </c>
      <c r="E11" s="7">
        <v>7.9</v>
      </c>
      <c r="F11" s="8">
        <v>2.2999999999999998</v>
      </c>
      <c r="G11" s="7">
        <v>0.4</v>
      </c>
      <c r="H11" s="8">
        <v>42.2</v>
      </c>
      <c r="I11" s="7">
        <v>5.0999999999999996</v>
      </c>
      <c r="J11" s="8">
        <v>2.1</v>
      </c>
      <c r="K11" s="6">
        <v>867</v>
      </c>
    </row>
    <row r="12" spans="1:11" ht="10.25" customHeight="1" x14ac:dyDescent="0.3">
      <c r="A12" s="4" t="s">
        <v>64</v>
      </c>
      <c r="B12" s="8">
        <v>46</v>
      </c>
      <c r="C12" s="6">
        <v>542</v>
      </c>
      <c r="D12" s="5">
        <v>130</v>
      </c>
      <c r="E12" s="7">
        <v>5</v>
      </c>
      <c r="F12" s="8">
        <v>1.4</v>
      </c>
      <c r="G12" s="7">
        <v>0.2</v>
      </c>
      <c r="H12" s="8">
        <v>23.3</v>
      </c>
      <c r="I12" s="7">
        <v>1.7</v>
      </c>
      <c r="J12" s="8">
        <v>1.8</v>
      </c>
      <c r="K12" s="6">
        <v>181</v>
      </c>
    </row>
    <row r="13" spans="1:11" ht="10.25" customHeight="1" x14ac:dyDescent="0.3">
      <c r="A13" s="4" t="s">
        <v>65</v>
      </c>
      <c r="B13" s="8">
        <v>44.7</v>
      </c>
      <c r="C13" s="6">
        <v>545</v>
      </c>
      <c r="D13" s="5">
        <v>130</v>
      </c>
      <c r="E13" s="7">
        <v>5</v>
      </c>
      <c r="F13" s="8">
        <v>1.4</v>
      </c>
      <c r="G13" s="7">
        <v>0.2</v>
      </c>
      <c r="H13" s="8">
        <v>23.5</v>
      </c>
      <c r="I13" s="7">
        <v>1.8</v>
      </c>
      <c r="J13" s="8">
        <v>1.2</v>
      </c>
      <c r="K13" s="6">
        <v>159</v>
      </c>
    </row>
    <row r="14" spans="1:11" ht="10.25" customHeight="1" x14ac:dyDescent="0.3">
      <c r="A14" s="4" t="s">
        <v>66</v>
      </c>
      <c r="B14" s="8">
        <v>70</v>
      </c>
      <c r="C14" s="6">
        <v>833</v>
      </c>
      <c r="D14" s="5">
        <v>199</v>
      </c>
      <c r="E14" s="7">
        <v>6</v>
      </c>
      <c r="F14" s="8">
        <v>4.8</v>
      </c>
      <c r="G14" s="7">
        <v>0.6</v>
      </c>
      <c r="H14" s="8">
        <v>32.1</v>
      </c>
      <c r="I14" s="7">
        <v>1.7</v>
      </c>
      <c r="J14" s="8">
        <v>6</v>
      </c>
      <c r="K14" s="6">
        <v>259</v>
      </c>
    </row>
    <row r="15" spans="1:11" ht="10.25" customHeight="1" x14ac:dyDescent="0.3">
      <c r="A15" s="4" t="s">
        <v>67</v>
      </c>
      <c r="B15" s="8">
        <v>85</v>
      </c>
      <c r="C15" s="6">
        <v>876</v>
      </c>
      <c r="D15" s="5">
        <v>209</v>
      </c>
      <c r="E15" s="7">
        <v>4.2</v>
      </c>
      <c r="F15" s="8">
        <v>4.5999999999999996</v>
      </c>
      <c r="G15" s="7">
        <v>0.6</v>
      </c>
      <c r="H15" s="8">
        <v>35.6</v>
      </c>
      <c r="I15" s="7">
        <v>1.4</v>
      </c>
      <c r="J15" s="8">
        <v>3.8</v>
      </c>
      <c r="K15" s="6">
        <v>310</v>
      </c>
    </row>
    <row r="16" spans="1:11" ht="11" customHeight="1" x14ac:dyDescent="0.3">
      <c r="A16" s="166" t="s">
        <v>68</v>
      </c>
      <c r="B16" s="167"/>
      <c r="C16" s="167"/>
      <c r="D16" s="167"/>
      <c r="E16" s="167"/>
      <c r="F16" s="167"/>
      <c r="G16" s="167"/>
      <c r="H16" s="167"/>
      <c r="I16" s="167"/>
      <c r="J16" s="167"/>
      <c r="K16" s="168"/>
    </row>
    <row r="17" spans="1:11" ht="10.25" customHeight="1" x14ac:dyDescent="0.3">
      <c r="A17" s="4" t="s">
        <v>69</v>
      </c>
      <c r="B17" s="8">
        <v>8.8000000000000007</v>
      </c>
      <c r="C17" s="6">
        <v>187</v>
      </c>
      <c r="D17" s="8">
        <v>44.8</v>
      </c>
      <c r="E17" s="7">
        <v>3.3</v>
      </c>
      <c r="F17" s="8">
        <v>3.3</v>
      </c>
      <c r="G17" s="7">
        <v>1.5</v>
      </c>
      <c r="H17" s="8">
        <v>0.1</v>
      </c>
      <c r="I17" s="7">
        <v>0.1</v>
      </c>
      <c r="J17" s="8">
        <v>0</v>
      </c>
      <c r="K17" s="6">
        <v>198</v>
      </c>
    </row>
    <row r="18" spans="1:11" ht="10.25" customHeight="1" x14ac:dyDescent="0.3">
      <c r="A18" s="4" t="s">
        <v>12</v>
      </c>
      <c r="B18" s="8">
        <v>85</v>
      </c>
      <c r="C18" s="6">
        <v>351</v>
      </c>
      <c r="D18" s="8">
        <v>83.9</v>
      </c>
      <c r="E18" s="7">
        <v>14.7</v>
      </c>
      <c r="F18" s="8">
        <v>1.8</v>
      </c>
      <c r="G18" s="7">
        <v>0.6</v>
      </c>
      <c r="H18" s="8">
        <v>3.5</v>
      </c>
      <c r="I18" s="7">
        <v>2.8</v>
      </c>
      <c r="J18" s="8">
        <v>1</v>
      </c>
      <c r="K18" s="6">
        <v>850</v>
      </c>
    </row>
    <row r="19" spans="1:11" ht="10.25" customHeight="1" x14ac:dyDescent="0.3">
      <c r="A19" s="4" t="s">
        <v>14</v>
      </c>
      <c r="B19" s="8">
        <v>60</v>
      </c>
      <c r="C19" s="6">
        <v>529</v>
      </c>
      <c r="D19" s="5">
        <v>126</v>
      </c>
      <c r="E19" s="7">
        <v>9.5</v>
      </c>
      <c r="F19" s="8">
        <v>8</v>
      </c>
      <c r="G19" s="7">
        <v>1.7</v>
      </c>
      <c r="H19" s="8">
        <v>3.3</v>
      </c>
      <c r="I19" s="7">
        <v>0.4</v>
      </c>
      <c r="J19" s="8">
        <v>0</v>
      </c>
      <c r="K19" s="6">
        <v>390</v>
      </c>
    </row>
    <row r="20" spans="1:11" ht="10.25" customHeight="1" x14ac:dyDescent="0.3">
      <c r="A20" s="4" t="s">
        <v>15</v>
      </c>
      <c r="B20" s="8">
        <v>64</v>
      </c>
      <c r="C20" s="6">
        <v>285</v>
      </c>
      <c r="D20" s="8">
        <v>68.2</v>
      </c>
      <c r="E20" s="7">
        <v>14.4</v>
      </c>
      <c r="F20" s="8">
        <v>1.7</v>
      </c>
      <c r="G20" s="7">
        <v>0.6</v>
      </c>
      <c r="H20" s="8">
        <v>0.6</v>
      </c>
      <c r="I20" s="7">
        <v>0.5</v>
      </c>
      <c r="J20" s="8">
        <v>0.9</v>
      </c>
      <c r="K20" s="6">
        <v>269</v>
      </c>
    </row>
    <row r="21" spans="1:11" ht="10.25" customHeight="1" x14ac:dyDescent="0.3">
      <c r="A21" s="4" t="s">
        <v>16</v>
      </c>
      <c r="B21" s="8">
        <v>85</v>
      </c>
      <c r="C21" s="6">
        <v>421</v>
      </c>
      <c r="D21" s="5">
        <v>101</v>
      </c>
      <c r="E21" s="7">
        <v>14.5</v>
      </c>
      <c r="F21" s="8">
        <v>1.8</v>
      </c>
      <c r="G21" s="7">
        <v>0.6</v>
      </c>
      <c r="H21" s="8">
        <v>8</v>
      </c>
      <c r="I21" s="7">
        <v>4.8</v>
      </c>
      <c r="J21" s="8">
        <v>0.9</v>
      </c>
      <c r="K21" s="6">
        <v>463</v>
      </c>
    </row>
    <row r="22" spans="1:11" ht="10.25" customHeight="1" x14ac:dyDescent="0.3">
      <c r="A22" s="4" t="s">
        <v>70</v>
      </c>
      <c r="B22" s="8">
        <v>59</v>
      </c>
      <c r="C22" s="6">
        <v>326</v>
      </c>
      <c r="D22" s="8">
        <v>77.8</v>
      </c>
      <c r="E22" s="7">
        <v>7.5</v>
      </c>
      <c r="F22" s="8">
        <v>5.3</v>
      </c>
      <c r="G22" s="7">
        <v>1.8</v>
      </c>
      <c r="H22" s="8">
        <v>0.2</v>
      </c>
      <c r="I22" s="7">
        <v>0.2</v>
      </c>
      <c r="J22" s="8">
        <v>0</v>
      </c>
      <c r="K22" s="6">
        <v>139</v>
      </c>
    </row>
    <row r="23" spans="1:11" ht="10.25" customHeight="1" x14ac:dyDescent="0.3">
      <c r="A23" s="4" t="s">
        <v>18</v>
      </c>
      <c r="B23" s="8">
        <v>40</v>
      </c>
      <c r="C23" s="6">
        <v>167</v>
      </c>
      <c r="D23" s="8">
        <v>39.9</v>
      </c>
      <c r="E23" s="7">
        <v>7</v>
      </c>
      <c r="F23" s="8">
        <v>1.2</v>
      </c>
      <c r="G23" s="7">
        <v>0.4</v>
      </c>
      <c r="H23" s="8">
        <v>0.6</v>
      </c>
      <c r="I23" s="7">
        <v>0.6</v>
      </c>
      <c r="J23" s="8">
        <v>0</v>
      </c>
      <c r="K23" s="6">
        <v>440</v>
      </c>
    </row>
    <row r="24" spans="1:11" ht="10.25" customHeight="1" x14ac:dyDescent="0.3">
      <c r="A24" s="4" t="s">
        <v>71</v>
      </c>
      <c r="B24" s="5">
        <v>125</v>
      </c>
      <c r="C24" s="6">
        <v>654</v>
      </c>
      <c r="D24" s="5">
        <v>156</v>
      </c>
      <c r="E24" s="7">
        <v>10.4</v>
      </c>
      <c r="F24" s="8">
        <v>7.2</v>
      </c>
      <c r="G24" s="7">
        <v>3</v>
      </c>
      <c r="H24" s="8">
        <v>9.8000000000000007</v>
      </c>
      <c r="I24" s="7">
        <v>5.0999999999999996</v>
      </c>
      <c r="J24" s="8">
        <v>1.5</v>
      </c>
      <c r="K24" s="6">
        <v>476</v>
      </c>
    </row>
    <row r="25" spans="1:11" ht="10.25" customHeight="1" x14ac:dyDescent="0.3">
      <c r="A25" s="4" t="s">
        <v>72</v>
      </c>
      <c r="B25" s="8">
        <v>18</v>
      </c>
      <c r="C25" s="6">
        <v>297</v>
      </c>
      <c r="D25" s="8">
        <v>71</v>
      </c>
      <c r="E25" s="7">
        <v>4.0999999999999996</v>
      </c>
      <c r="F25" s="8">
        <v>5.9</v>
      </c>
      <c r="G25" s="7">
        <v>2.2999999999999998</v>
      </c>
      <c r="H25" s="8">
        <v>0.6</v>
      </c>
      <c r="I25" s="7">
        <v>0.2</v>
      </c>
      <c r="J25" s="8">
        <v>0</v>
      </c>
      <c r="K25" s="6">
        <v>270</v>
      </c>
    </row>
    <row r="26" spans="1:11" ht="10.25" customHeight="1" x14ac:dyDescent="0.3">
      <c r="A26" s="4" t="s">
        <v>73</v>
      </c>
      <c r="B26" s="8">
        <v>77</v>
      </c>
      <c r="C26" s="6">
        <v>886</v>
      </c>
      <c r="D26" s="5">
        <v>212</v>
      </c>
      <c r="E26" s="7">
        <v>11.4</v>
      </c>
      <c r="F26" s="8">
        <v>17.5</v>
      </c>
      <c r="G26" s="7">
        <v>6.1</v>
      </c>
      <c r="H26" s="8">
        <v>2.2999999999999998</v>
      </c>
      <c r="I26" s="7">
        <v>0.2</v>
      </c>
      <c r="J26" s="8">
        <v>0.9</v>
      </c>
      <c r="K26" s="6">
        <v>601</v>
      </c>
    </row>
    <row r="27" spans="1:11" ht="10.25" customHeight="1" x14ac:dyDescent="0.3">
      <c r="A27" s="4" t="s">
        <v>22</v>
      </c>
      <c r="B27" s="8">
        <v>48</v>
      </c>
      <c r="C27" s="6">
        <v>229</v>
      </c>
      <c r="D27" s="8">
        <v>54.8</v>
      </c>
      <c r="E27" s="7">
        <v>8.3000000000000007</v>
      </c>
      <c r="F27" s="8">
        <v>1.5</v>
      </c>
      <c r="G27" s="7">
        <v>0.7</v>
      </c>
      <c r="H27" s="8">
        <v>1.2</v>
      </c>
      <c r="I27" s="7">
        <v>1</v>
      </c>
      <c r="J27" s="8">
        <v>0</v>
      </c>
      <c r="K27" s="6">
        <v>261</v>
      </c>
    </row>
    <row r="28" spans="1:11" ht="10.25" customHeight="1" x14ac:dyDescent="0.3">
      <c r="A28" s="4" t="s">
        <v>74</v>
      </c>
      <c r="B28" s="8">
        <v>18</v>
      </c>
      <c r="C28" s="6">
        <v>297</v>
      </c>
      <c r="D28" s="8">
        <v>71</v>
      </c>
      <c r="E28" s="7">
        <v>4.0999999999999996</v>
      </c>
      <c r="F28" s="8">
        <v>5.9</v>
      </c>
      <c r="G28" s="7">
        <v>2.2999999999999998</v>
      </c>
      <c r="H28" s="8">
        <v>0.6</v>
      </c>
      <c r="I28" s="7">
        <v>0.2</v>
      </c>
      <c r="J28" s="8">
        <v>0</v>
      </c>
      <c r="K28" s="6">
        <v>270</v>
      </c>
    </row>
    <row r="29" spans="1:11" ht="10.25" customHeight="1" x14ac:dyDescent="0.3">
      <c r="A29" s="4" t="s">
        <v>23</v>
      </c>
      <c r="B29" s="8">
        <v>75</v>
      </c>
      <c r="C29" s="6">
        <v>682</v>
      </c>
      <c r="D29" s="5">
        <v>163</v>
      </c>
      <c r="E29" s="7">
        <v>6.6</v>
      </c>
      <c r="F29" s="8">
        <v>5.9</v>
      </c>
      <c r="G29" s="7">
        <v>1</v>
      </c>
      <c r="H29" s="8">
        <v>17.600000000000001</v>
      </c>
      <c r="I29" s="7">
        <v>3.8</v>
      </c>
      <c r="J29" s="8">
        <v>3.2</v>
      </c>
      <c r="K29" s="6">
        <v>662</v>
      </c>
    </row>
    <row r="30" spans="1:11" ht="10.25" customHeight="1" x14ac:dyDescent="0.3">
      <c r="A30" s="4" t="s">
        <v>75</v>
      </c>
      <c r="B30" s="8">
        <v>64</v>
      </c>
      <c r="C30" s="6">
        <v>435</v>
      </c>
      <c r="D30" s="5">
        <v>104</v>
      </c>
      <c r="E30" s="7">
        <v>14.5</v>
      </c>
      <c r="F30" s="8">
        <v>4.5</v>
      </c>
      <c r="G30" s="7">
        <v>2</v>
      </c>
      <c r="H30" s="8">
        <v>0.6</v>
      </c>
      <c r="I30" s="7">
        <v>0.5</v>
      </c>
      <c r="J30" s="8">
        <v>0</v>
      </c>
      <c r="K30" s="6">
        <v>358</v>
      </c>
    </row>
    <row r="31" spans="1:11" ht="10.25" customHeight="1" x14ac:dyDescent="0.3">
      <c r="A31" s="4" t="s">
        <v>25</v>
      </c>
      <c r="B31" s="5">
        <v>105</v>
      </c>
      <c r="C31" s="6">
        <v>899</v>
      </c>
      <c r="D31" s="5">
        <v>215</v>
      </c>
      <c r="E31" s="7">
        <v>20.8</v>
      </c>
      <c r="F31" s="8">
        <v>11.8</v>
      </c>
      <c r="G31" s="7">
        <v>2</v>
      </c>
      <c r="H31" s="8">
        <v>9.5</v>
      </c>
      <c r="I31" s="7">
        <v>0.7</v>
      </c>
      <c r="J31" s="8">
        <v>0</v>
      </c>
      <c r="K31" s="6">
        <v>609</v>
      </c>
    </row>
    <row r="32" spans="1:11" ht="10.25" customHeight="1" x14ac:dyDescent="0.3">
      <c r="A32" s="4" t="s">
        <v>26</v>
      </c>
      <c r="B32" s="8">
        <v>64</v>
      </c>
      <c r="C32" s="6">
        <v>315</v>
      </c>
      <c r="D32" s="8">
        <v>75.3</v>
      </c>
      <c r="E32" s="7">
        <v>10.199999999999999</v>
      </c>
      <c r="F32" s="8">
        <v>2.2000000000000002</v>
      </c>
      <c r="G32" s="7">
        <v>0.4</v>
      </c>
      <c r="H32" s="8">
        <v>3.6</v>
      </c>
      <c r="I32" s="7">
        <v>2.4</v>
      </c>
      <c r="J32" s="8">
        <v>0</v>
      </c>
      <c r="K32" s="6">
        <v>271</v>
      </c>
    </row>
    <row r="33" spans="1:11" ht="10.25" customHeight="1" x14ac:dyDescent="0.3">
      <c r="A33" s="4" t="s">
        <v>27</v>
      </c>
      <c r="B33" s="8">
        <v>54</v>
      </c>
      <c r="C33" s="6">
        <v>240</v>
      </c>
      <c r="D33" s="8">
        <v>57.4</v>
      </c>
      <c r="E33" s="7">
        <v>11.4</v>
      </c>
      <c r="F33" s="8">
        <v>0.5</v>
      </c>
      <c r="G33" s="7">
        <v>0.5</v>
      </c>
      <c r="H33" s="8">
        <v>1.5</v>
      </c>
      <c r="I33" s="7">
        <v>0.5</v>
      </c>
      <c r="J33" s="8">
        <v>0</v>
      </c>
      <c r="K33" s="6">
        <v>359</v>
      </c>
    </row>
    <row r="34" spans="1:11" ht="10.25" customHeight="1" x14ac:dyDescent="0.3">
      <c r="A34" s="4" t="s">
        <v>29</v>
      </c>
      <c r="B34" s="8">
        <v>90</v>
      </c>
      <c r="C34" s="6">
        <v>803</v>
      </c>
      <c r="D34" s="8">
        <v>191.9</v>
      </c>
      <c r="E34" s="7">
        <v>7.6</v>
      </c>
      <c r="F34" s="8">
        <v>9.4</v>
      </c>
      <c r="G34" s="7">
        <v>1.8</v>
      </c>
      <c r="H34" s="8">
        <v>16.5</v>
      </c>
      <c r="I34" s="7">
        <v>2.5</v>
      </c>
      <c r="J34" s="8">
        <v>6.2</v>
      </c>
      <c r="K34" s="6">
        <v>324</v>
      </c>
    </row>
    <row r="35" spans="1:11" ht="11" customHeight="1" x14ac:dyDescent="0.3">
      <c r="A35" s="166" t="s">
        <v>76</v>
      </c>
      <c r="B35" s="167"/>
      <c r="C35" s="167"/>
      <c r="D35" s="167"/>
      <c r="E35" s="167"/>
      <c r="F35" s="167"/>
      <c r="G35" s="167"/>
      <c r="H35" s="167"/>
      <c r="I35" s="167"/>
      <c r="J35" s="167"/>
      <c r="K35" s="168"/>
    </row>
    <row r="36" spans="1:11" ht="10.25" customHeight="1" x14ac:dyDescent="0.3">
      <c r="A36" s="4" t="s">
        <v>77</v>
      </c>
      <c r="B36" s="8">
        <v>15</v>
      </c>
      <c r="C36" s="6">
        <v>268</v>
      </c>
      <c r="D36" s="8">
        <v>64.2</v>
      </c>
      <c r="E36" s="7">
        <v>0.3</v>
      </c>
      <c r="F36" s="8">
        <v>6.5</v>
      </c>
      <c r="G36" s="7">
        <v>0.6</v>
      </c>
      <c r="H36" s="8">
        <v>1.3</v>
      </c>
      <c r="I36" s="7">
        <v>0.8</v>
      </c>
      <c r="J36" s="8">
        <v>0.1</v>
      </c>
      <c r="K36" s="6">
        <v>180</v>
      </c>
    </row>
    <row r="37" spans="1:11" ht="10.25" customHeight="1" x14ac:dyDescent="0.3">
      <c r="A37" s="4" t="s">
        <v>78</v>
      </c>
      <c r="B37" s="8">
        <v>21</v>
      </c>
      <c r="C37" s="6">
        <v>389</v>
      </c>
      <c r="D37" s="8">
        <v>92.9</v>
      </c>
      <c r="E37" s="7">
        <v>0.6</v>
      </c>
      <c r="F37" s="8">
        <v>10.1</v>
      </c>
      <c r="G37" s="7">
        <v>1.6</v>
      </c>
      <c r="H37" s="8">
        <v>1.2</v>
      </c>
      <c r="I37" s="7">
        <v>0.9</v>
      </c>
      <c r="J37" s="8">
        <v>0</v>
      </c>
      <c r="K37" s="6">
        <v>134</v>
      </c>
    </row>
    <row r="38" spans="1:11" ht="10.25" customHeight="1" x14ac:dyDescent="0.3">
      <c r="A38" s="4" t="s">
        <v>79</v>
      </c>
      <c r="B38" s="8">
        <v>21</v>
      </c>
      <c r="C38" s="6">
        <v>246</v>
      </c>
      <c r="D38" s="8">
        <v>58.7</v>
      </c>
      <c r="E38" s="7">
        <v>0.3</v>
      </c>
      <c r="F38" s="8">
        <v>5.8</v>
      </c>
      <c r="G38" s="7">
        <v>0.9</v>
      </c>
      <c r="H38" s="8">
        <v>1.6</v>
      </c>
      <c r="I38" s="7">
        <v>1</v>
      </c>
      <c r="J38" s="8">
        <v>0</v>
      </c>
      <c r="K38" s="6">
        <v>187</v>
      </c>
    </row>
    <row r="39" spans="1:11" ht="10.25" customHeight="1" x14ac:dyDescent="0.3">
      <c r="A39" s="4" t="s">
        <v>80</v>
      </c>
      <c r="B39" s="8">
        <v>15</v>
      </c>
      <c r="C39" s="7">
        <v>82.5</v>
      </c>
      <c r="D39" s="8">
        <v>19.7</v>
      </c>
      <c r="E39" s="7">
        <v>0.1</v>
      </c>
      <c r="F39" s="8">
        <v>0</v>
      </c>
      <c r="G39" s="7">
        <v>0</v>
      </c>
      <c r="H39" s="8">
        <v>4.5999999999999996</v>
      </c>
      <c r="I39" s="7">
        <v>3.7</v>
      </c>
      <c r="J39" s="8">
        <v>0.1</v>
      </c>
      <c r="K39" s="6">
        <v>320</v>
      </c>
    </row>
    <row r="40" spans="1:11" ht="10.25" customHeight="1" x14ac:dyDescent="0.3">
      <c r="A40" s="4" t="s">
        <v>81</v>
      </c>
      <c r="B40" s="8">
        <v>21</v>
      </c>
      <c r="C40" s="6">
        <v>124</v>
      </c>
      <c r="D40" s="8">
        <v>29.6</v>
      </c>
      <c r="E40" s="7">
        <v>0.3</v>
      </c>
      <c r="F40" s="8">
        <v>0.3</v>
      </c>
      <c r="G40" s="7">
        <v>0</v>
      </c>
      <c r="H40" s="8">
        <v>6.5</v>
      </c>
      <c r="I40" s="7">
        <v>4.4000000000000004</v>
      </c>
      <c r="J40" s="8">
        <v>0</v>
      </c>
      <c r="K40" s="7">
        <v>94.5</v>
      </c>
    </row>
    <row r="41" spans="1:11" ht="10.25" customHeight="1" x14ac:dyDescent="0.3">
      <c r="A41" s="4" t="s">
        <v>82</v>
      </c>
      <c r="B41" s="8">
        <v>21</v>
      </c>
      <c r="C41" s="7">
        <v>59.9</v>
      </c>
      <c r="D41" s="8">
        <v>14.3</v>
      </c>
      <c r="E41" s="7">
        <v>0.3</v>
      </c>
      <c r="F41" s="8">
        <v>0.5</v>
      </c>
      <c r="G41" s="7">
        <v>0.1</v>
      </c>
      <c r="H41" s="8">
        <v>1.8</v>
      </c>
      <c r="I41" s="7">
        <v>1.4</v>
      </c>
      <c r="J41" s="8">
        <v>0.5</v>
      </c>
      <c r="K41" s="7">
        <v>70.400000000000006</v>
      </c>
    </row>
    <row r="42" spans="1:11" ht="10.25" customHeight="1" x14ac:dyDescent="0.3">
      <c r="A42" s="4" t="s">
        <v>83</v>
      </c>
      <c r="B42" s="8">
        <v>15</v>
      </c>
      <c r="C42" s="7">
        <v>86.1</v>
      </c>
      <c r="D42" s="8">
        <v>20.6</v>
      </c>
      <c r="E42" s="7">
        <v>0.1</v>
      </c>
      <c r="F42" s="8">
        <v>1.2</v>
      </c>
      <c r="G42" s="7">
        <v>0.2</v>
      </c>
      <c r="H42" s="8">
        <v>2.2999999999999998</v>
      </c>
      <c r="I42" s="7">
        <v>1.5</v>
      </c>
      <c r="J42" s="8">
        <v>0</v>
      </c>
      <c r="K42" s="7">
        <v>79.5</v>
      </c>
    </row>
    <row r="43" spans="1:11" ht="10.25" customHeight="1" x14ac:dyDescent="0.3">
      <c r="A43" s="4" t="s">
        <v>84</v>
      </c>
      <c r="B43" s="8">
        <v>21</v>
      </c>
      <c r="C43" s="6">
        <v>386</v>
      </c>
      <c r="D43" s="8">
        <v>92.4</v>
      </c>
      <c r="E43" s="7">
        <v>0.3</v>
      </c>
      <c r="F43" s="8">
        <v>9.6999999999999993</v>
      </c>
      <c r="G43" s="7">
        <v>1.6</v>
      </c>
      <c r="H43" s="8">
        <v>1.3</v>
      </c>
      <c r="I43" s="7">
        <v>0.8</v>
      </c>
      <c r="J43" s="8">
        <v>0.1</v>
      </c>
      <c r="K43" s="6">
        <v>202</v>
      </c>
    </row>
    <row r="44" spans="1:11" ht="10.25" customHeight="1" x14ac:dyDescent="0.3">
      <c r="A44" s="4" t="s">
        <v>85</v>
      </c>
      <c r="B44" s="8">
        <v>21</v>
      </c>
      <c r="C44" s="6">
        <v>131</v>
      </c>
      <c r="D44" s="8">
        <v>31.3</v>
      </c>
      <c r="E44" s="7">
        <v>0.2</v>
      </c>
      <c r="F44" s="8">
        <v>0.2</v>
      </c>
      <c r="G44" s="7">
        <v>0.2</v>
      </c>
      <c r="H44" s="8">
        <v>7.5</v>
      </c>
      <c r="I44" s="7">
        <v>5.7</v>
      </c>
      <c r="J44" s="8">
        <v>0.2</v>
      </c>
      <c r="K44" s="6">
        <v>172</v>
      </c>
    </row>
    <row r="45" spans="1:11" ht="10.25" customHeight="1" x14ac:dyDescent="0.3">
      <c r="A45" s="4" t="s">
        <v>86</v>
      </c>
      <c r="B45" s="8">
        <v>15</v>
      </c>
      <c r="C45" s="6">
        <v>157</v>
      </c>
      <c r="D45" s="8">
        <v>37.6</v>
      </c>
      <c r="E45" s="7">
        <v>0.2</v>
      </c>
      <c r="F45" s="8">
        <v>7.4</v>
      </c>
      <c r="G45" s="7">
        <v>0.6</v>
      </c>
      <c r="H45" s="8">
        <v>1.7</v>
      </c>
      <c r="I45" s="7">
        <v>1.4</v>
      </c>
      <c r="J45" s="8">
        <v>0.1</v>
      </c>
      <c r="K45" s="6">
        <v>153</v>
      </c>
    </row>
    <row r="46" spans="1:11" ht="10.25" customHeight="1" x14ac:dyDescent="0.3">
      <c r="A46" s="4" t="s">
        <v>87</v>
      </c>
      <c r="B46" s="8">
        <v>21</v>
      </c>
      <c r="C46" s="6">
        <v>165</v>
      </c>
      <c r="D46" s="8">
        <v>39.5</v>
      </c>
      <c r="E46" s="7">
        <v>0</v>
      </c>
      <c r="F46" s="8">
        <v>0.1</v>
      </c>
      <c r="G46" s="7">
        <v>0</v>
      </c>
      <c r="H46" s="8">
        <v>9.6</v>
      </c>
      <c r="I46" s="7">
        <v>9.1</v>
      </c>
      <c r="J46" s="8">
        <v>0</v>
      </c>
      <c r="K46" s="6">
        <v>185</v>
      </c>
    </row>
    <row r="47" spans="1:11" ht="10.25" customHeight="1" x14ac:dyDescent="0.3">
      <c r="A47" s="4" t="s">
        <v>88</v>
      </c>
      <c r="B47" s="8">
        <v>21</v>
      </c>
      <c r="C47" s="6">
        <v>155</v>
      </c>
      <c r="D47" s="8">
        <v>38.6</v>
      </c>
      <c r="E47" s="7">
        <v>0.1</v>
      </c>
      <c r="F47" s="8">
        <v>0.1</v>
      </c>
      <c r="G47" s="7">
        <v>0</v>
      </c>
      <c r="H47" s="8">
        <v>9.1</v>
      </c>
      <c r="I47" s="7">
        <v>7.9</v>
      </c>
      <c r="J47" s="8">
        <v>0.1</v>
      </c>
      <c r="K47" s="7">
        <v>73.5</v>
      </c>
    </row>
    <row r="48" spans="1:11" ht="11" customHeight="1" x14ac:dyDescent="0.3">
      <c r="A48" s="166" t="s">
        <v>89</v>
      </c>
      <c r="B48" s="167"/>
      <c r="C48" s="167"/>
      <c r="D48" s="167"/>
      <c r="E48" s="167"/>
      <c r="F48" s="167"/>
      <c r="G48" s="167"/>
      <c r="H48" s="167"/>
      <c r="I48" s="167"/>
      <c r="J48" s="167"/>
      <c r="K48" s="168"/>
    </row>
    <row r="49" spans="1:11" ht="10.25" customHeight="1" x14ac:dyDescent="0.3">
      <c r="A49" s="4" t="s">
        <v>90</v>
      </c>
      <c r="B49" s="8">
        <v>11.3</v>
      </c>
      <c r="C49" s="6">
        <v>162</v>
      </c>
      <c r="D49" s="8">
        <v>38.6</v>
      </c>
      <c r="E49" s="7">
        <v>2.2999999999999998</v>
      </c>
      <c r="F49" s="8">
        <v>3.1</v>
      </c>
      <c r="G49" s="7">
        <v>2</v>
      </c>
      <c r="H49" s="8">
        <v>0.5</v>
      </c>
      <c r="I49" s="7">
        <v>0.2</v>
      </c>
      <c r="J49" s="8">
        <v>0</v>
      </c>
      <c r="K49" s="6">
        <v>136</v>
      </c>
    </row>
    <row r="50" spans="1:11" ht="10.25" customHeight="1" x14ac:dyDescent="0.3">
      <c r="A50" s="4" t="s">
        <v>91</v>
      </c>
      <c r="B50" s="8">
        <v>14.2</v>
      </c>
      <c r="C50" s="6">
        <v>171</v>
      </c>
      <c r="D50" s="8">
        <v>40.9</v>
      </c>
      <c r="E50" s="7">
        <v>3.8</v>
      </c>
      <c r="F50" s="8">
        <v>2.8</v>
      </c>
      <c r="G50" s="7">
        <v>2</v>
      </c>
      <c r="H50" s="8">
        <v>0</v>
      </c>
      <c r="I50" s="7">
        <v>0</v>
      </c>
      <c r="J50" s="8">
        <v>0</v>
      </c>
      <c r="K50" s="7">
        <v>69.599999999999994</v>
      </c>
    </row>
    <row r="51" spans="1:11" ht="10.25" customHeight="1" x14ac:dyDescent="0.3">
      <c r="A51" s="4" t="s">
        <v>92</v>
      </c>
      <c r="B51" s="8">
        <v>11.3</v>
      </c>
      <c r="C51" s="6">
        <v>159</v>
      </c>
      <c r="D51" s="8">
        <v>38.1</v>
      </c>
      <c r="E51" s="7">
        <v>2.2999999999999998</v>
      </c>
      <c r="F51" s="8">
        <v>3</v>
      </c>
      <c r="G51" s="7">
        <v>2.1</v>
      </c>
      <c r="H51" s="8">
        <v>0.6</v>
      </c>
      <c r="I51" s="7">
        <v>0.3</v>
      </c>
      <c r="J51" s="8">
        <v>0</v>
      </c>
      <c r="K51" s="6">
        <v>215</v>
      </c>
    </row>
    <row r="52" spans="1:11" ht="11" customHeight="1" x14ac:dyDescent="0.3">
      <c r="A52" s="166" t="s">
        <v>93</v>
      </c>
      <c r="B52" s="167"/>
      <c r="C52" s="167"/>
      <c r="D52" s="167"/>
      <c r="E52" s="167"/>
      <c r="F52" s="167"/>
      <c r="G52" s="167"/>
      <c r="H52" s="167"/>
      <c r="I52" s="167"/>
      <c r="J52" s="167"/>
      <c r="K52" s="168"/>
    </row>
    <row r="53" spans="1:11" ht="10.25" customHeight="1" x14ac:dyDescent="0.3">
      <c r="A53" s="4" t="s">
        <v>94</v>
      </c>
      <c r="B53" s="8">
        <v>35</v>
      </c>
      <c r="C53" s="6">
        <v>244</v>
      </c>
      <c r="D53" s="8">
        <v>58.3</v>
      </c>
      <c r="E53" s="7">
        <v>1.2</v>
      </c>
      <c r="F53" s="8">
        <v>5.3</v>
      </c>
      <c r="G53" s="7">
        <v>0.6</v>
      </c>
      <c r="H53" s="8">
        <v>3.5</v>
      </c>
      <c r="I53" s="7">
        <v>0</v>
      </c>
      <c r="J53" s="8">
        <v>0</v>
      </c>
      <c r="K53" s="7">
        <v>0</v>
      </c>
    </row>
    <row r="54" spans="1:11" ht="10.25" customHeight="1" x14ac:dyDescent="0.3">
      <c r="A54" s="4" t="s">
        <v>95</v>
      </c>
      <c r="B54" s="8">
        <v>21</v>
      </c>
      <c r="C54" s="7">
        <v>49.3</v>
      </c>
      <c r="D54" s="8">
        <v>11.8</v>
      </c>
      <c r="E54" s="7">
        <v>0.2</v>
      </c>
      <c r="F54" s="8">
        <v>0</v>
      </c>
      <c r="G54" s="7">
        <v>0</v>
      </c>
      <c r="H54" s="8">
        <v>2.5</v>
      </c>
      <c r="I54" s="7">
        <v>2.2999999999999998</v>
      </c>
      <c r="J54" s="8">
        <v>0.5</v>
      </c>
      <c r="K54" s="7">
        <v>52.5</v>
      </c>
    </row>
    <row r="55" spans="1:11" ht="10.25" customHeight="1" x14ac:dyDescent="0.3">
      <c r="A55" s="4" t="s">
        <v>96</v>
      </c>
      <c r="B55" s="8">
        <v>7</v>
      </c>
      <c r="C55" s="7">
        <v>5.9</v>
      </c>
      <c r="D55" s="8">
        <v>1.4</v>
      </c>
      <c r="E55" s="7">
        <v>0.1</v>
      </c>
      <c r="F55" s="8">
        <v>0</v>
      </c>
      <c r="G55" s="7">
        <v>0</v>
      </c>
      <c r="H55" s="8">
        <v>0.2</v>
      </c>
      <c r="I55" s="7">
        <v>0.2</v>
      </c>
      <c r="J55" s="8">
        <v>0.1</v>
      </c>
      <c r="K55" s="7">
        <v>0.2</v>
      </c>
    </row>
    <row r="56" spans="1:11" ht="10.25" customHeight="1" x14ac:dyDescent="0.3">
      <c r="A56" s="4" t="s">
        <v>97</v>
      </c>
      <c r="B56" s="8">
        <v>7</v>
      </c>
      <c r="C56" s="7">
        <v>12</v>
      </c>
      <c r="D56" s="8">
        <v>2.9</v>
      </c>
      <c r="E56" s="7">
        <v>0.1</v>
      </c>
      <c r="F56" s="8">
        <v>0</v>
      </c>
      <c r="G56" s="7">
        <v>0</v>
      </c>
      <c r="H56" s="8">
        <v>0.5</v>
      </c>
      <c r="I56" s="7">
        <v>0.3</v>
      </c>
      <c r="J56" s="8">
        <v>0.2</v>
      </c>
      <c r="K56" s="7">
        <v>4.8</v>
      </c>
    </row>
    <row r="57" spans="1:11" ht="10.25" customHeight="1" x14ac:dyDescent="0.3">
      <c r="A57" s="4" t="s">
        <v>98</v>
      </c>
      <c r="B57" s="8">
        <v>14</v>
      </c>
      <c r="C57" s="7">
        <v>8.8000000000000007</v>
      </c>
      <c r="D57" s="8">
        <v>2.1</v>
      </c>
      <c r="E57" s="7">
        <v>0.1</v>
      </c>
      <c r="F57" s="8">
        <v>0</v>
      </c>
      <c r="G57" s="7">
        <v>0</v>
      </c>
      <c r="H57" s="8">
        <v>0.4</v>
      </c>
      <c r="I57" s="7">
        <v>0.2</v>
      </c>
      <c r="J57" s="8">
        <v>0.1</v>
      </c>
      <c r="K57" s="7">
        <v>0.3</v>
      </c>
    </row>
    <row r="58" spans="1:11" ht="10.25" customHeight="1" x14ac:dyDescent="0.3">
      <c r="A58" s="4" t="s">
        <v>99</v>
      </c>
      <c r="B58" s="8">
        <v>4</v>
      </c>
      <c r="C58" s="7">
        <v>6.7</v>
      </c>
      <c r="D58" s="8">
        <v>1.6</v>
      </c>
      <c r="E58" s="7">
        <v>0.1</v>
      </c>
      <c r="F58" s="8">
        <v>0</v>
      </c>
      <c r="G58" s="7">
        <v>0</v>
      </c>
      <c r="H58" s="8">
        <v>0.2</v>
      </c>
      <c r="I58" s="7">
        <v>0.2</v>
      </c>
      <c r="J58" s="8">
        <v>0.1</v>
      </c>
      <c r="K58" s="7">
        <v>67.599999999999994</v>
      </c>
    </row>
    <row r="59" spans="1:11" ht="10.25" customHeight="1" x14ac:dyDescent="0.3">
      <c r="A59" s="4" t="s">
        <v>100</v>
      </c>
      <c r="B59" s="8">
        <v>21</v>
      </c>
      <c r="C59" s="7">
        <v>12.3</v>
      </c>
      <c r="D59" s="8">
        <v>2.9</v>
      </c>
      <c r="E59" s="7">
        <v>0.2</v>
      </c>
      <c r="F59" s="8">
        <v>0</v>
      </c>
      <c r="G59" s="7">
        <v>0</v>
      </c>
      <c r="H59" s="8">
        <v>0.4</v>
      </c>
      <c r="I59" s="7">
        <v>0.4</v>
      </c>
      <c r="J59" s="8">
        <v>0.3</v>
      </c>
      <c r="K59" s="7">
        <v>2.1</v>
      </c>
    </row>
    <row r="60" spans="1:11" ht="10.25" customHeight="1" x14ac:dyDescent="0.3">
      <c r="A60" s="4" t="s">
        <v>101</v>
      </c>
      <c r="B60" s="8">
        <v>7</v>
      </c>
      <c r="C60" s="7">
        <v>11.7</v>
      </c>
      <c r="D60" s="8">
        <v>2.8</v>
      </c>
      <c r="E60" s="7">
        <v>0.1</v>
      </c>
      <c r="F60" s="8">
        <v>0</v>
      </c>
      <c r="G60" s="7">
        <v>0</v>
      </c>
      <c r="H60" s="8">
        <v>0.5</v>
      </c>
      <c r="I60" s="7">
        <v>0.3</v>
      </c>
      <c r="J60" s="8">
        <v>0.1</v>
      </c>
      <c r="K60" s="7">
        <v>0.3</v>
      </c>
    </row>
    <row r="61" spans="1:11" ht="10.25" customHeight="1" x14ac:dyDescent="0.3">
      <c r="A61" s="4" t="s">
        <v>102</v>
      </c>
      <c r="B61" s="8">
        <v>3</v>
      </c>
      <c r="C61" s="7">
        <v>16.100000000000001</v>
      </c>
      <c r="D61" s="8">
        <v>3.8</v>
      </c>
      <c r="E61" s="7">
        <v>0</v>
      </c>
      <c r="F61" s="8">
        <v>0.3</v>
      </c>
      <c r="G61" s="7">
        <v>0.1</v>
      </c>
      <c r="H61" s="8">
        <v>0.2</v>
      </c>
      <c r="I61" s="7">
        <v>0</v>
      </c>
      <c r="J61" s="8">
        <v>0.1</v>
      </c>
      <c r="K61" s="7">
        <v>26.4</v>
      </c>
    </row>
    <row r="62" spans="1:11" ht="10.25" customHeight="1" x14ac:dyDescent="0.3">
      <c r="A62" s="4" t="s">
        <v>103</v>
      </c>
      <c r="B62" s="8">
        <v>9.5</v>
      </c>
      <c r="C62" s="7">
        <v>5.9</v>
      </c>
      <c r="D62" s="8">
        <v>1.4</v>
      </c>
      <c r="E62" s="7">
        <v>0</v>
      </c>
      <c r="F62" s="8">
        <v>0</v>
      </c>
      <c r="G62" s="7">
        <v>0</v>
      </c>
      <c r="H62" s="8">
        <v>0.2</v>
      </c>
      <c r="I62" s="7">
        <v>0</v>
      </c>
      <c r="J62" s="8">
        <v>0.1</v>
      </c>
      <c r="K62" s="6">
        <v>114</v>
      </c>
    </row>
    <row r="63" spans="1:11" ht="10.25" customHeight="1" x14ac:dyDescent="0.3">
      <c r="A63" s="4" t="s">
        <v>104</v>
      </c>
      <c r="B63" s="8">
        <v>20</v>
      </c>
      <c r="C63" s="7">
        <v>50.2</v>
      </c>
      <c r="D63" s="8">
        <v>12</v>
      </c>
      <c r="E63" s="7">
        <v>0.1</v>
      </c>
      <c r="F63" s="8">
        <v>0</v>
      </c>
      <c r="G63" s="7">
        <v>0</v>
      </c>
      <c r="H63" s="8">
        <v>3.6</v>
      </c>
      <c r="I63" s="7">
        <v>3.2</v>
      </c>
      <c r="J63" s="8">
        <v>0.2</v>
      </c>
      <c r="K63" s="7">
        <v>1.5</v>
      </c>
    </row>
    <row r="64" spans="1:11" ht="10.25" customHeight="1" x14ac:dyDescent="0.3">
      <c r="A64" s="4" t="s">
        <v>105</v>
      </c>
      <c r="B64" s="8">
        <v>7</v>
      </c>
      <c r="C64" s="7">
        <v>6.4</v>
      </c>
      <c r="D64" s="8">
        <v>1.5</v>
      </c>
      <c r="E64" s="7">
        <v>0.2</v>
      </c>
      <c r="F64" s="8">
        <v>0</v>
      </c>
      <c r="G64" s="7">
        <v>0</v>
      </c>
      <c r="H64" s="8">
        <v>0.2</v>
      </c>
      <c r="I64" s="7">
        <v>0</v>
      </c>
      <c r="J64" s="8">
        <v>0.2</v>
      </c>
      <c r="K64" s="7">
        <v>5.5</v>
      </c>
    </row>
    <row r="65" spans="1:12" ht="10.25" customHeight="1" x14ac:dyDescent="0.3">
      <c r="A65" s="4" t="s">
        <v>106</v>
      </c>
      <c r="B65" s="8">
        <v>35</v>
      </c>
      <c r="C65" s="7">
        <v>26.4</v>
      </c>
      <c r="D65" s="8">
        <v>6.3</v>
      </c>
      <c r="E65" s="7">
        <v>0.3</v>
      </c>
      <c r="F65" s="8">
        <v>0.1</v>
      </c>
      <c r="G65" s="7">
        <v>0</v>
      </c>
      <c r="H65" s="8">
        <v>0.9</v>
      </c>
      <c r="I65" s="7">
        <v>0.9</v>
      </c>
      <c r="J65" s="8">
        <v>0.4</v>
      </c>
      <c r="K65" s="7">
        <v>1.8</v>
      </c>
    </row>
    <row r="66" spans="1:12" ht="11" customHeight="1" x14ac:dyDescent="0.3">
      <c r="A66" s="166" t="s">
        <v>107</v>
      </c>
      <c r="B66" s="167"/>
      <c r="C66" s="167"/>
      <c r="D66" s="167"/>
      <c r="E66" s="167"/>
      <c r="F66" s="167"/>
      <c r="G66" s="167"/>
      <c r="H66" s="167"/>
      <c r="I66" s="167"/>
      <c r="J66" s="167"/>
      <c r="K66" s="168"/>
    </row>
    <row r="67" spans="1:12" ht="10.25" customHeight="1" x14ac:dyDescent="0.3">
      <c r="A67" s="4" t="s">
        <v>108</v>
      </c>
      <c r="B67" s="8">
        <v>1</v>
      </c>
      <c r="C67" s="7">
        <v>12.1</v>
      </c>
      <c r="D67" s="8">
        <v>2.9</v>
      </c>
      <c r="E67" s="7">
        <v>0.1</v>
      </c>
      <c r="F67" s="8">
        <v>0</v>
      </c>
      <c r="G67" s="7">
        <v>0</v>
      </c>
      <c r="H67" s="8">
        <v>0.4</v>
      </c>
      <c r="I67" s="7">
        <v>0</v>
      </c>
      <c r="J67" s="8">
        <v>0</v>
      </c>
      <c r="K67" s="7">
        <v>0.3</v>
      </c>
    </row>
    <row r="68" spans="1:12" ht="10.25" customHeight="1" x14ac:dyDescent="0.3">
      <c r="A68" s="4" t="s">
        <v>109</v>
      </c>
      <c r="B68" s="8">
        <v>1</v>
      </c>
      <c r="C68" s="7">
        <v>0</v>
      </c>
      <c r="D68" s="8">
        <v>0</v>
      </c>
      <c r="E68" s="7">
        <v>0</v>
      </c>
      <c r="F68" s="8">
        <v>0</v>
      </c>
      <c r="G68" s="7">
        <v>0</v>
      </c>
      <c r="H68" s="8">
        <v>0</v>
      </c>
      <c r="I68" s="7">
        <v>0</v>
      </c>
      <c r="J68" s="8">
        <v>0</v>
      </c>
      <c r="K68" s="6">
        <v>391</v>
      </c>
    </row>
    <row r="69" spans="1:12" ht="11" customHeight="1" x14ac:dyDescent="0.3">
      <c r="A69" s="166" t="s">
        <v>110</v>
      </c>
      <c r="B69" s="167"/>
      <c r="C69" s="167"/>
      <c r="D69" s="167"/>
      <c r="E69" s="167"/>
      <c r="F69" s="167"/>
      <c r="G69" s="167"/>
      <c r="H69" s="167"/>
      <c r="I69" s="167"/>
      <c r="J69" s="167"/>
      <c r="K69" s="168"/>
    </row>
    <row r="70" spans="1:12" ht="10.25" customHeight="1" x14ac:dyDescent="0.3">
      <c r="A70" s="4" t="s">
        <v>111</v>
      </c>
      <c r="B70" s="5">
        <v>425</v>
      </c>
      <c r="C70" s="6">
        <v>931</v>
      </c>
      <c r="D70" s="5">
        <v>223</v>
      </c>
      <c r="E70" s="7">
        <v>2.1</v>
      </c>
      <c r="F70" s="8">
        <v>0.6</v>
      </c>
      <c r="G70" s="7">
        <v>0.2</v>
      </c>
      <c r="H70" s="8">
        <v>55.7</v>
      </c>
      <c r="I70" s="7">
        <v>38.6</v>
      </c>
      <c r="J70" s="8">
        <v>4</v>
      </c>
      <c r="K70" s="7">
        <v>2</v>
      </c>
    </row>
    <row r="71" spans="1:12" ht="10.25" customHeight="1" x14ac:dyDescent="0.3">
      <c r="A71" s="4" t="s">
        <v>112</v>
      </c>
      <c r="B71" s="5">
        <v>425</v>
      </c>
      <c r="C71" s="6">
        <v>785</v>
      </c>
      <c r="D71" s="5">
        <v>188</v>
      </c>
      <c r="E71" s="7">
        <v>2.2000000000000002</v>
      </c>
      <c r="F71" s="8">
        <v>0.6</v>
      </c>
      <c r="G71" s="7">
        <v>0.2</v>
      </c>
      <c r="H71" s="8">
        <v>46.6</v>
      </c>
      <c r="I71" s="7">
        <v>24.2</v>
      </c>
      <c r="J71" s="8">
        <v>4.2</v>
      </c>
      <c r="K71" s="7">
        <v>26</v>
      </c>
    </row>
    <row r="72" spans="1:12" ht="10.25" customHeight="1" x14ac:dyDescent="0.3">
      <c r="A72" s="4" t="s">
        <v>113</v>
      </c>
      <c r="B72" s="5">
        <v>425</v>
      </c>
      <c r="C72" s="6">
        <v>846</v>
      </c>
      <c r="D72" s="5">
        <v>202</v>
      </c>
      <c r="E72" s="7">
        <v>1.6</v>
      </c>
      <c r="F72" s="8">
        <v>0.4</v>
      </c>
      <c r="G72" s="7">
        <v>0.2</v>
      </c>
      <c r="H72" s="8">
        <v>50.6</v>
      </c>
      <c r="I72" s="7">
        <v>35.4</v>
      </c>
      <c r="J72" s="8">
        <v>3.3</v>
      </c>
      <c r="K72" s="7">
        <v>2</v>
      </c>
    </row>
    <row r="73" spans="1:12" ht="23.25" customHeight="1" x14ac:dyDescent="0.3">
      <c r="A73" s="176" t="s">
        <v>114</v>
      </c>
      <c r="B73" s="173"/>
      <c r="C73" s="173"/>
      <c r="D73" s="173"/>
      <c r="E73" s="173"/>
      <c r="F73" s="173"/>
      <c r="G73" s="173"/>
      <c r="H73" s="173"/>
      <c r="I73" s="173"/>
      <c r="J73" s="173"/>
      <c r="K73" s="174"/>
    </row>
    <row r="74" spans="1:12" ht="10.25" customHeight="1" x14ac:dyDescent="0.3">
      <c r="A74" s="4" t="s">
        <v>115</v>
      </c>
      <c r="B74" s="5">
        <v>208</v>
      </c>
      <c r="C74" s="6">
        <v>1920</v>
      </c>
      <c r="D74" s="5">
        <v>460</v>
      </c>
      <c r="E74" s="7">
        <v>24.1</v>
      </c>
      <c r="F74" s="8">
        <v>14.9</v>
      </c>
      <c r="G74" s="7">
        <v>6.2</v>
      </c>
      <c r="H74" s="8">
        <v>56</v>
      </c>
      <c r="I74" s="7">
        <v>15.6</v>
      </c>
      <c r="J74" s="8">
        <v>3</v>
      </c>
      <c r="K74" s="6">
        <v>1330</v>
      </c>
    </row>
    <row r="75" spans="1:12" ht="29.25" customHeight="1" x14ac:dyDescent="0.3">
      <c r="A75" s="172" t="s">
        <v>116</v>
      </c>
      <c r="B75" s="173"/>
      <c r="C75" s="173"/>
      <c r="D75" s="173"/>
      <c r="E75" s="173"/>
      <c r="F75" s="173"/>
      <c r="G75" s="173"/>
      <c r="H75" s="173"/>
      <c r="I75" s="173"/>
      <c r="J75" s="173"/>
      <c r="K75" s="174"/>
    </row>
    <row r="76" spans="1:12" ht="10.25" customHeight="1" x14ac:dyDescent="0.3">
      <c r="A76" s="4" t="s">
        <v>117</v>
      </c>
      <c r="B76" s="5">
        <v>205</v>
      </c>
      <c r="C76" s="6">
        <v>2140</v>
      </c>
      <c r="D76" s="5">
        <v>512</v>
      </c>
      <c r="E76" s="7">
        <v>27.8</v>
      </c>
      <c r="F76" s="8">
        <v>26.2</v>
      </c>
      <c r="G76" s="7">
        <v>8.4</v>
      </c>
      <c r="H76" s="8">
        <v>48.7</v>
      </c>
      <c r="I76" s="7">
        <v>11.7</v>
      </c>
      <c r="J76" s="8">
        <v>2.5</v>
      </c>
      <c r="K76" s="6">
        <v>1410</v>
      </c>
    </row>
    <row r="77" spans="1:12" ht="11" customHeight="1" x14ac:dyDescent="0.3">
      <c r="A77" s="166" t="s">
        <v>118</v>
      </c>
      <c r="B77" s="167"/>
      <c r="C77" s="167"/>
      <c r="D77" s="167"/>
      <c r="E77" s="167"/>
      <c r="F77" s="167"/>
      <c r="G77" s="167"/>
      <c r="H77" s="167"/>
      <c r="I77" s="167"/>
      <c r="J77" s="167"/>
      <c r="K77" s="168"/>
    </row>
    <row r="78" spans="1:12" ht="10.25" customHeight="1" x14ac:dyDescent="0.3">
      <c r="A78" s="4" t="s">
        <v>119</v>
      </c>
      <c r="B78" s="8">
        <v>64</v>
      </c>
      <c r="C78" s="6">
        <v>774</v>
      </c>
      <c r="D78" s="5">
        <v>185</v>
      </c>
      <c r="E78" s="7">
        <v>14.2</v>
      </c>
      <c r="F78" s="8">
        <v>10.1</v>
      </c>
      <c r="G78" s="7">
        <v>4</v>
      </c>
      <c r="H78" s="8">
        <v>9.6</v>
      </c>
      <c r="I78" s="7">
        <v>6</v>
      </c>
      <c r="J78" s="8">
        <v>0</v>
      </c>
      <c r="K78" s="6">
        <v>612</v>
      </c>
    </row>
    <row r="79" spans="1:12" ht="62.75" customHeight="1" x14ac:dyDescent="0.3">
      <c r="A79" s="175" t="s">
        <v>120</v>
      </c>
      <c r="B79" s="175"/>
      <c r="C79" s="175"/>
      <c r="D79" s="175"/>
      <c r="E79" s="175"/>
      <c r="F79" s="175"/>
      <c r="G79" s="175"/>
      <c r="H79" s="175"/>
      <c r="I79" s="175"/>
      <c r="J79" s="175"/>
      <c r="K79" s="175"/>
      <c r="L79" s="175"/>
    </row>
  </sheetData>
  <mergeCells count="12">
    <mergeCell ref="A77:K77"/>
    <mergeCell ref="A79:L79"/>
    <mergeCell ref="A52:K52"/>
    <mergeCell ref="A66:K66"/>
    <mergeCell ref="A69:K69"/>
    <mergeCell ref="A73:K73"/>
    <mergeCell ref="A75:K75"/>
    <mergeCell ref="A2:K2"/>
    <mergeCell ref="A6:K6"/>
    <mergeCell ref="A16:K16"/>
    <mergeCell ref="A35:K35"/>
    <mergeCell ref="A48:K48"/>
  </mergeCells>
  <hyperlinks>
    <hyperlink ref="A79" r:id="rId1" display="http://www.subway.com/en-NZ" xr:uid="{00000000-0004-0000-0100-000000000000}"/>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BF7001-7793-4741-8C13-1061D2628FF2}">
  <sheetPr codeName="Sheet4"/>
  <dimension ref="A1:K46"/>
  <sheetViews>
    <sheetView topLeftCell="A23" zoomScaleNormal="100" workbookViewId="0">
      <selection activeCell="A34" sqref="A34"/>
    </sheetView>
  </sheetViews>
  <sheetFormatPr defaultRowHeight="13" x14ac:dyDescent="0.3"/>
  <cols>
    <col min="1" max="1" width="88" bestFit="1" customWidth="1"/>
    <col min="2" max="2" width="15.69921875" bestFit="1" customWidth="1"/>
    <col min="3" max="3" width="11.59765625" bestFit="1" customWidth="1"/>
    <col min="4" max="4" width="13.69921875" bestFit="1" customWidth="1"/>
    <col min="5" max="5" width="11.3984375" bestFit="1" customWidth="1"/>
    <col min="6" max="6" width="13.3984375" bestFit="1" customWidth="1"/>
    <col min="7" max="7" width="11.3984375" bestFit="1" customWidth="1"/>
    <col min="8" max="8" width="18.8984375" bestFit="1" customWidth="1"/>
    <col min="9" max="9" width="10.5" bestFit="1" customWidth="1"/>
    <col min="10" max="10" width="16.8984375" bestFit="1" customWidth="1"/>
    <col min="11" max="11" width="13.59765625" bestFit="1" customWidth="1"/>
  </cols>
  <sheetData>
    <row r="1" spans="1:11" ht="15.5" x14ac:dyDescent="0.3">
      <c r="A1" s="17" t="s">
        <v>172</v>
      </c>
      <c r="B1" s="17" t="s">
        <v>157</v>
      </c>
      <c r="C1" s="17" t="s">
        <v>158</v>
      </c>
      <c r="D1" s="17" t="s">
        <v>159</v>
      </c>
      <c r="E1" s="17" t="s">
        <v>160</v>
      </c>
      <c r="F1" s="17" t="s">
        <v>161</v>
      </c>
      <c r="G1" s="17" t="s">
        <v>162</v>
      </c>
      <c r="H1" s="17" t="s">
        <v>163</v>
      </c>
      <c r="I1" s="17" t="s">
        <v>164</v>
      </c>
      <c r="J1" s="17" t="s">
        <v>165</v>
      </c>
      <c r="K1" s="17" t="s">
        <v>166</v>
      </c>
    </row>
    <row r="2" spans="1:11" ht="15.5" x14ac:dyDescent="0.3">
      <c r="A2" s="16" t="s">
        <v>173</v>
      </c>
      <c r="B2" s="177" t="s">
        <v>171</v>
      </c>
      <c r="C2" s="177"/>
      <c r="D2" s="177"/>
      <c r="E2" s="177"/>
      <c r="F2" s="177"/>
      <c r="G2" s="177"/>
      <c r="H2" s="177"/>
      <c r="I2" s="177"/>
      <c r="J2" s="177"/>
      <c r="K2" s="177"/>
    </row>
    <row r="3" spans="1:11" ht="15.5" x14ac:dyDescent="0.3">
      <c r="A3" s="11" t="s">
        <v>121</v>
      </c>
      <c r="B3" s="11">
        <v>243</v>
      </c>
      <c r="C3" s="11">
        <v>1240</v>
      </c>
      <c r="D3" s="11">
        <v>296</v>
      </c>
      <c r="E3" s="11">
        <v>23.1</v>
      </c>
      <c r="F3" s="11">
        <v>4.0999999999999996</v>
      </c>
      <c r="G3" s="11">
        <v>1</v>
      </c>
      <c r="H3" s="11">
        <v>41.4</v>
      </c>
      <c r="I3" s="11">
        <v>7.5</v>
      </c>
      <c r="J3" s="11">
        <v>4</v>
      </c>
      <c r="K3" s="11">
        <v>1100</v>
      </c>
    </row>
    <row r="4" spans="1:11" ht="15.5" x14ac:dyDescent="0.3">
      <c r="A4" s="11" t="s">
        <v>122</v>
      </c>
      <c r="B4" s="11">
        <v>266</v>
      </c>
      <c r="C4" s="11">
        <v>1920</v>
      </c>
      <c r="D4" s="11">
        <v>458</v>
      </c>
      <c r="E4" s="11">
        <v>30.1</v>
      </c>
      <c r="F4" s="11">
        <v>19.8</v>
      </c>
      <c r="G4" s="11">
        <v>6</v>
      </c>
      <c r="H4" s="11">
        <v>40</v>
      </c>
      <c r="I4" s="11">
        <v>6.2</v>
      </c>
      <c r="J4" s="11">
        <v>4</v>
      </c>
      <c r="K4" s="11">
        <v>985</v>
      </c>
    </row>
    <row r="5" spans="1:11" ht="15.5" x14ac:dyDescent="0.3">
      <c r="A5" s="11" t="s">
        <v>123</v>
      </c>
      <c r="B5" s="11">
        <v>218</v>
      </c>
      <c r="C5" s="11">
        <v>1420</v>
      </c>
      <c r="D5" s="11">
        <v>339</v>
      </c>
      <c r="E5" s="11">
        <v>17.899999999999999</v>
      </c>
      <c r="F5" s="11">
        <v>10.3</v>
      </c>
      <c r="G5" s="11">
        <v>2</v>
      </c>
      <c r="H5" s="11">
        <v>41.2</v>
      </c>
      <c r="I5" s="11">
        <v>5.2</v>
      </c>
      <c r="J5" s="11">
        <v>3</v>
      </c>
      <c r="K5" s="11">
        <v>639</v>
      </c>
    </row>
    <row r="6" spans="1:11" ht="15.5" x14ac:dyDescent="0.3">
      <c r="A6" s="11" t="s">
        <v>124</v>
      </c>
      <c r="B6" s="11">
        <v>222</v>
      </c>
      <c r="C6" s="11">
        <v>1170</v>
      </c>
      <c r="D6" s="11">
        <v>281</v>
      </c>
      <c r="E6" s="11">
        <v>22.8</v>
      </c>
      <c r="F6" s="11">
        <v>4</v>
      </c>
      <c r="G6" s="11">
        <v>0.9</v>
      </c>
      <c r="H6" s="11">
        <v>38.5</v>
      </c>
      <c r="I6" s="11">
        <v>5.3</v>
      </c>
      <c r="J6" s="11">
        <v>3.9</v>
      </c>
      <c r="K6" s="11">
        <v>517</v>
      </c>
    </row>
    <row r="7" spans="1:11" ht="15.5" x14ac:dyDescent="0.3">
      <c r="A7" s="11" t="s">
        <v>125</v>
      </c>
      <c r="B7" s="11">
        <v>243</v>
      </c>
      <c r="C7" s="11">
        <v>1310</v>
      </c>
      <c r="D7" s="11">
        <v>313</v>
      </c>
      <c r="E7" s="11">
        <v>22.9</v>
      </c>
      <c r="F7" s="11">
        <v>4.0999999999999996</v>
      </c>
      <c r="G7" s="11">
        <v>0.9</v>
      </c>
      <c r="H7" s="11">
        <v>45.9</v>
      </c>
      <c r="I7" s="11">
        <v>9.6</v>
      </c>
      <c r="J7" s="11">
        <v>3.9</v>
      </c>
      <c r="K7" s="11">
        <v>712</v>
      </c>
    </row>
    <row r="8" spans="1:11" ht="15.5" x14ac:dyDescent="0.3">
      <c r="A8" s="11" t="s">
        <v>126</v>
      </c>
      <c r="B8" s="11">
        <v>214</v>
      </c>
      <c r="C8" s="11">
        <v>1570</v>
      </c>
      <c r="D8" s="11">
        <v>374</v>
      </c>
      <c r="E8" s="11">
        <v>20.100000000000001</v>
      </c>
      <c r="F8" s="11">
        <v>14.6</v>
      </c>
      <c r="G8" s="11">
        <v>5.2</v>
      </c>
      <c r="H8" s="11">
        <v>39.4</v>
      </c>
      <c r="I8" s="11">
        <v>5.4</v>
      </c>
      <c r="J8" s="11">
        <v>3</v>
      </c>
      <c r="K8" s="11">
        <v>1010</v>
      </c>
    </row>
    <row r="9" spans="1:11" ht="15.5" x14ac:dyDescent="0.3">
      <c r="A9" s="11" t="s">
        <v>127</v>
      </c>
      <c r="B9" s="11">
        <v>198</v>
      </c>
      <c r="C9" s="11">
        <v>1060</v>
      </c>
      <c r="D9" s="11">
        <v>252</v>
      </c>
      <c r="E9" s="11">
        <v>15.4</v>
      </c>
      <c r="F9" s="11">
        <v>3.5</v>
      </c>
      <c r="G9" s="11">
        <v>0.8</v>
      </c>
      <c r="H9" s="11">
        <v>38.5</v>
      </c>
      <c r="I9" s="11">
        <v>5.3</v>
      </c>
      <c r="J9" s="11">
        <v>3</v>
      </c>
      <c r="K9" s="11">
        <v>689</v>
      </c>
    </row>
    <row r="10" spans="1:11" ht="15.5" x14ac:dyDescent="0.3">
      <c r="A10" s="11" t="s">
        <v>128</v>
      </c>
      <c r="B10" s="11">
        <v>297</v>
      </c>
      <c r="C10" s="11">
        <v>1710</v>
      </c>
      <c r="D10" s="11">
        <v>409</v>
      </c>
      <c r="E10" s="11">
        <v>22.5</v>
      </c>
      <c r="F10" s="11">
        <v>12.3</v>
      </c>
      <c r="G10" s="11">
        <v>5.3</v>
      </c>
      <c r="H10" s="11">
        <v>47.7</v>
      </c>
      <c r="I10" s="11">
        <v>9.8000000000000007</v>
      </c>
      <c r="J10" s="11">
        <v>4.5</v>
      </c>
      <c r="K10" s="11">
        <v>794</v>
      </c>
    </row>
    <row r="11" spans="1:11" ht="15.5" x14ac:dyDescent="0.3">
      <c r="A11" s="11" t="s">
        <v>129</v>
      </c>
      <c r="B11" s="11">
        <v>229</v>
      </c>
      <c r="C11" s="11">
        <v>1710</v>
      </c>
      <c r="D11" s="11">
        <v>409</v>
      </c>
      <c r="E11" s="11">
        <v>20.7</v>
      </c>
      <c r="F11" s="11">
        <v>17.399999999999999</v>
      </c>
      <c r="G11" s="11">
        <v>7.1</v>
      </c>
      <c r="H11" s="11">
        <v>40.799999999999997</v>
      </c>
      <c r="I11" s="11">
        <v>6.6</v>
      </c>
      <c r="J11" s="11">
        <v>3.5</v>
      </c>
      <c r="K11" s="11">
        <v>928</v>
      </c>
    </row>
    <row r="12" spans="1:11" ht="15.5" x14ac:dyDescent="0.3">
      <c r="A12" s="11" t="s">
        <v>130</v>
      </c>
      <c r="B12" s="11">
        <v>256</v>
      </c>
      <c r="C12" s="11">
        <v>1910</v>
      </c>
      <c r="D12" s="11">
        <v>455</v>
      </c>
      <c r="E12" s="11">
        <v>19.899999999999999</v>
      </c>
      <c r="F12" s="11">
        <v>20</v>
      </c>
      <c r="G12" s="11">
        <v>6.6</v>
      </c>
      <c r="H12" s="11">
        <v>47.7</v>
      </c>
      <c r="I12" s="11">
        <v>10.6</v>
      </c>
      <c r="J12" s="11">
        <v>4.0999999999999996</v>
      </c>
      <c r="K12" s="11">
        <v>1021</v>
      </c>
    </row>
    <row r="13" spans="1:11" ht="15.5" x14ac:dyDescent="0.3">
      <c r="A13" s="11" t="s">
        <v>131</v>
      </c>
      <c r="B13" s="11">
        <v>206</v>
      </c>
      <c r="C13" s="11">
        <v>1120</v>
      </c>
      <c r="D13" s="11">
        <v>267</v>
      </c>
      <c r="E13" s="11">
        <v>16.600000000000001</v>
      </c>
      <c r="F13" s="11">
        <v>3.8</v>
      </c>
      <c r="G13" s="11">
        <v>1</v>
      </c>
      <c r="H13" s="11">
        <v>39.200000000000003</v>
      </c>
      <c r="I13" s="11">
        <v>5.7</v>
      </c>
      <c r="J13" s="11">
        <v>3</v>
      </c>
      <c r="K13" s="11">
        <v>510</v>
      </c>
    </row>
    <row r="14" spans="1:11" ht="15.5" x14ac:dyDescent="0.3">
      <c r="A14" s="11" t="s">
        <v>132</v>
      </c>
      <c r="B14" s="11">
        <v>233</v>
      </c>
      <c r="C14" s="11">
        <v>1570</v>
      </c>
      <c r="D14" s="11">
        <v>375</v>
      </c>
      <c r="E14" s="11">
        <v>15</v>
      </c>
      <c r="F14" s="11">
        <v>8.1999999999999993</v>
      </c>
      <c r="G14" s="11">
        <v>1.3</v>
      </c>
      <c r="H14" s="11">
        <v>55.5</v>
      </c>
      <c r="I14" s="11">
        <v>8.6</v>
      </c>
      <c r="J14" s="11">
        <v>6.2</v>
      </c>
      <c r="K14" s="11">
        <v>911</v>
      </c>
    </row>
    <row r="15" spans="1:11" ht="15.5" x14ac:dyDescent="0.3">
      <c r="A15" s="11" t="s">
        <v>133</v>
      </c>
      <c r="B15" s="11">
        <v>236</v>
      </c>
      <c r="C15" s="11">
        <v>1490</v>
      </c>
      <c r="D15" s="11">
        <v>357</v>
      </c>
      <c r="E15" s="11">
        <v>26.6</v>
      </c>
      <c r="F15" s="11">
        <v>9.6</v>
      </c>
      <c r="G15" s="11">
        <v>4.4000000000000004</v>
      </c>
      <c r="H15" s="11">
        <v>38.6</v>
      </c>
      <c r="I15" s="11">
        <v>5.3</v>
      </c>
      <c r="J15" s="11">
        <v>3</v>
      </c>
      <c r="K15" s="11">
        <v>676</v>
      </c>
    </row>
    <row r="16" spans="1:11" ht="15.5" x14ac:dyDescent="0.3">
      <c r="A16" s="11" t="s">
        <v>134</v>
      </c>
      <c r="B16" s="11">
        <v>263</v>
      </c>
      <c r="C16" s="11">
        <v>1790</v>
      </c>
      <c r="D16" s="11">
        <v>427</v>
      </c>
      <c r="E16" s="11">
        <v>29.2</v>
      </c>
      <c r="F16" s="11">
        <v>14.1</v>
      </c>
      <c r="G16" s="11">
        <v>2.4</v>
      </c>
      <c r="H16" s="11">
        <v>47.4</v>
      </c>
      <c r="I16" s="11">
        <v>5.5</v>
      </c>
      <c r="J16" s="11">
        <v>3</v>
      </c>
      <c r="K16" s="11">
        <v>858</v>
      </c>
    </row>
    <row r="17" spans="1:11" ht="15.5" x14ac:dyDescent="0.3">
      <c r="A17" s="11" t="s">
        <v>135</v>
      </c>
      <c r="B17" s="11">
        <v>222</v>
      </c>
      <c r="C17" s="11">
        <v>1200</v>
      </c>
      <c r="D17" s="11">
        <v>288</v>
      </c>
      <c r="E17" s="11">
        <v>18.600000000000001</v>
      </c>
      <c r="F17" s="11">
        <v>4.5</v>
      </c>
      <c r="G17" s="11">
        <v>0.8</v>
      </c>
      <c r="H17" s="11">
        <v>41.6</v>
      </c>
      <c r="I17" s="11">
        <v>7.2</v>
      </c>
      <c r="J17" s="11">
        <v>3</v>
      </c>
      <c r="K17" s="11">
        <v>520</v>
      </c>
    </row>
    <row r="18" spans="1:11" ht="15.5" x14ac:dyDescent="0.3">
      <c r="A18" s="11" t="s">
        <v>136</v>
      </c>
      <c r="B18" s="11">
        <v>212</v>
      </c>
      <c r="C18" s="11">
        <v>1130</v>
      </c>
      <c r="D18" s="11">
        <v>270</v>
      </c>
      <c r="E18" s="11">
        <v>19.8</v>
      </c>
      <c r="F18" s="11">
        <v>2.8</v>
      </c>
      <c r="G18" s="11">
        <v>0.8</v>
      </c>
      <c r="H18" s="11">
        <v>39.4</v>
      </c>
      <c r="I18" s="11">
        <v>5.2</v>
      </c>
      <c r="J18" s="11">
        <v>3</v>
      </c>
      <c r="K18" s="11">
        <v>607</v>
      </c>
    </row>
    <row r="19" spans="1:11" ht="15.5" x14ac:dyDescent="0.3">
      <c r="A19" s="11" t="s">
        <v>137</v>
      </c>
      <c r="B19" s="11">
        <v>193</v>
      </c>
      <c r="C19" s="11">
        <v>1130</v>
      </c>
      <c r="D19" s="11">
        <v>271</v>
      </c>
      <c r="E19" s="11">
        <v>9.5</v>
      </c>
      <c r="F19" s="11">
        <v>7.6</v>
      </c>
      <c r="G19" s="11">
        <v>1</v>
      </c>
      <c r="H19" s="11">
        <v>41.4</v>
      </c>
      <c r="I19" s="11">
        <v>4.7</v>
      </c>
      <c r="J19" s="11">
        <v>3</v>
      </c>
      <c r="K19" s="11">
        <v>249</v>
      </c>
    </row>
    <row r="20" spans="1:11" ht="15.5" x14ac:dyDescent="0.3">
      <c r="A20" s="11" t="s">
        <v>138</v>
      </c>
      <c r="B20" s="11">
        <v>248</v>
      </c>
      <c r="C20" s="11">
        <v>1690</v>
      </c>
      <c r="D20" s="11">
        <v>404</v>
      </c>
      <c r="E20" s="11">
        <v>16</v>
      </c>
      <c r="F20" s="11">
        <v>11.7</v>
      </c>
      <c r="G20" s="11">
        <v>2.2000000000000002</v>
      </c>
      <c r="H20" s="11">
        <v>54.4</v>
      </c>
      <c r="I20" s="11">
        <v>7.3</v>
      </c>
      <c r="J20" s="11">
        <v>9.1999999999999993</v>
      </c>
      <c r="K20" s="11">
        <v>573</v>
      </c>
    </row>
    <row r="21" spans="1:11" ht="15.5" x14ac:dyDescent="0.3">
      <c r="A21" s="11" t="s">
        <v>127</v>
      </c>
      <c r="B21" s="11">
        <v>125</v>
      </c>
      <c r="C21" s="11">
        <v>675</v>
      </c>
      <c r="D21" s="11">
        <v>161</v>
      </c>
      <c r="E21" s="11">
        <v>9.1</v>
      </c>
      <c r="F21" s="11">
        <v>2.1</v>
      </c>
      <c r="G21" s="11">
        <v>0.4</v>
      </c>
      <c r="H21" s="11">
        <v>25.5</v>
      </c>
      <c r="I21" s="11">
        <v>3.5</v>
      </c>
      <c r="J21" s="11">
        <v>2</v>
      </c>
      <c r="K21" s="11">
        <v>386</v>
      </c>
    </row>
    <row r="22" spans="1:11" ht="15.5" x14ac:dyDescent="0.3">
      <c r="A22" s="11" t="s">
        <v>131</v>
      </c>
      <c r="B22" s="11">
        <v>138</v>
      </c>
      <c r="C22" s="11">
        <v>750</v>
      </c>
      <c r="D22" s="11">
        <v>179</v>
      </c>
      <c r="E22" s="11">
        <v>11.3</v>
      </c>
      <c r="F22" s="11">
        <v>2.6</v>
      </c>
      <c r="G22" s="11">
        <v>0.7</v>
      </c>
      <c r="H22" s="11">
        <v>26.1</v>
      </c>
      <c r="I22" s="11">
        <v>3.8</v>
      </c>
      <c r="J22" s="11">
        <v>2</v>
      </c>
      <c r="K22" s="11">
        <v>345</v>
      </c>
    </row>
    <row r="23" spans="1:11" ht="15.5" x14ac:dyDescent="0.3">
      <c r="A23" s="11" t="s">
        <v>139</v>
      </c>
      <c r="B23" s="11">
        <v>132</v>
      </c>
      <c r="C23" s="11">
        <v>709</v>
      </c>
      <c r="D23" s="11">
        <v>170</v>
      </c>
      <c r="E23" s="11">
        <v>11.3</v>
      </c>
      <c r="F23" s="11">
        <v>1.8</v>
      </c>
      <c r="G23" s="11">
        <v>0.5</v>
      </c>
      <c r="H23" s="11">
        <v>25.8</v>
      </c>
      <c r="I23" s="11">
        <v>21.3</v>
      </c>
      <c r="J23" s="11">
        <v>2</v>
      </c>
      <c r="K23" s="11">
        <v>345</v>
      </c>
    </row>
    <row r="24" spans="1:11" ht="15.5" x14ac:dyDescent="0.3">
      <c r="A24" s="11" t="s">
        <v>137</v>
      </c>
      <c r="B24" s="11">
        <v>130</v>
      </c>
      <c r="C24" s="11">
        <v>766</v>
      </c>
      <c r="D24" s="11">
        <v>183</v>
      </c>
      <c r="E24" s="11">
        <v>6.4</v>
      </c>
      <c r="F24" s="11">
        <v>5.3</v>
      </c>
      <c r="G24" s="11">
        <v>0.7</v>
      </c>
      <c r="H24" s="11">
        <v>27.7</v>
      </c>
      <c r="I24" s="11">
        <v>3.2</v>
      </c>
      <c r="J24" s="11">
        <v>2</v>
      </c>
      <c r="K24" s="11">
        <v>166</v>
      </c>
    </row>
    <row r="25" spans="1:11" ht="15.5" x14ac:dyDescent="0.3">
      <c r="A25" s="12" t="s">
        <v>174</v>
      </c>
      <c r="B25" s="14"/>
      <c r="C25" s="14"/>
      <c r="D25" s="14"/>
      <c r="E25" s="14"/>
      <c r="F25" s="14"/>
      <c r="G25" s="14"/>
      <c r="H25" s="14"/>
      <c r="I25" s="14"/>
      <c r="J25" s="14"/>
      <c r="K25" s="14"/>
    </row>
    <row r="26" spans="1:11" ht="15.5" x14ac:dyDescent="0.3">
      <c r="A26" s="11" t="s">
        <v>140</v>
      </c>
      <c r="B26" s="11">
        <v>202</v>
      </c>
      <c r="C26" s="11">
        <v>1540</v>
      </c>
      <c r="D26" s="11">
        <v>369</v>
      </c>
      <c r="E26" s="11">
        <v>21.1</v>
      </c>
      <c r="F26" s="11">
        <v>14</v>
      </c>
      <c r="G26" s="11">
        <v>5.7</v>
      </c>
      <c r="H26" s="11">
        <v>37.9</v>
      </c>
      <c r="I26" s="11">
        <v>4.5999999999999996</v>
      </c>
      <c r="J26" s="11">
        <v>2.7</v>
      </c>
      <c r="K26" s="11">
        <v>718</v>
      </c>
    </row>
    <row r="27" spans="1:11" ht="15.5" x14ac:dyDescent="0.3">
      <c r="A27" s="11" t="s">
        <v>141</v>
      </c>
      <c r="B27" s="11">
        <v>193</v>
      </c>
      <c r="C27" s="11">
        <v>1360</v>
      </c>
      <c r="D27" s="11">
        <v>324</v>
      </c>
      <c r="E27" s="11">
        <v>17.899999999999999</v>
      </c>
      <c r="F27" s="11">
        <v>10.7</v>
      </c>
      <c r="G27" s="11">
        <v>4.2</v>
      </c>
      <c r="H27" s="11">
        <v>37.799999999999997</v>
      </c>
      <c r="I27" s="11">
        <v>4.5</v>
      </c>
      <c r="J27" s="11">
        <v>2.7</v>
      </c>
      <c r="K27" s="11">
        <v>521</v>
      </c>
    </row>
    <row r="28" spans="1:11" ht="15.5" x14ac:dyDescent="0.3">
      <c r="A28" s="11" t="s">
        <v>142</v>
      </c>
      <c r="B28" s="11">
        <v>233</v>
      </c>
      <c r="C28" s="11">
        <v>1520</v>
      </c>
      <c r="D28" s="11">
        <v>364</v>
      </c>
      <c r="E28" s="11">
        <v>24.9</v>
      </c>
      <c r="F28" s="11">
        <v>11.8</v>
      </c>
      <c r="G28" s="11">
        <v>4.5999999999999996</v>
      </c>
      <c r="H28" s="11">
        <v>38.4</v>
      </c>
      <c r="I28" s="11">
        <v>5.0999999999999996</v>
      </c>
      <c r="J28" s="11">
        <v>2.7</v>
      </c>
      <c r="K28" s="11">
        <v>960</v>
      </c>
    </row>
    <row r="29" spans="1:11" ht="15.5" x14ac:dyDescent="0.3">
      <c r="A29" s="11" t="s">
        <v>143</v>
      </c>
      <c r="B29" s="11">
        <v>257</v>
      </c>
      <c r="C29" s="11">
        <v>1790</v>
      </c>
      <c r="D29" s="11">
        <v>428</v>
      </c>
      <c r="E29" s="11">
        <v>32.299999999999997</v>
      </c>
      <c r="F29" s="11">
        <v>15.1</v>
      </c>
      <c r="G29" s="11">
        <v>6.2</v>
      </c>
      <c r="H29" s="11">
        <v>38.4</v>
      </c>
      <c r="I29" s="11">
        <v>5</v>
      </c>
      <c r="J29" s="11">
        <v>2.7</v>
      </c>
      <c r="K29" s="11">
        <v>879</v>
      </c>
    </row>
    <row r="30" spans="1:11" ht="15.5" x14ac:dyDescent="0.3">
      <c r="A30" s="12" t="s">
        <v>167</v>
      </c>
      <c r="B30" s="14"/>
      <c r="C30" s="14"/>
      <c r="D30" s="14"/>
      <c r="E30" s="14"/>
      <c r="F30" s="14"/>
      <c r="G30" s="14"/>
      <c r="H30" s="14"/>
      <c r="I30" s="14"/>
      <c r="J30" s="14"/>
      <c r="K30" s="14"/>
    </row>
    <row r="31" spans="1:11" ht="15.5" x14ac:dyDescent="0.3">
      <c r="A31" s="11" t="s">
        <v>144</v>
      </c>
      <c r="B31" s="11">
        <v>137</v>
      </c>
      <c r="C31" s="11">
        <v>1310</v>
      </c>
      <c r="D31" s="11">
        <v>312</v>
      </c>
      <c r="E31" s="11">
        <v>9.6999999999999993</v>
      </c>
      <c r="F31" s="11">
        <v>12.6</v>
      </c>
      <c r="G31" s="11">
        <v>1.5</v>
      </c>
      <c r="H31" s="11">
        <v>42.2</v>
      </c>
      <c r="I31" s="11">
        <v>2.7</v>
      </c>
      <c r="J31" s="11">
        <v>1.8</v>
      </c>
      <c r="K31" s="11">
        <v>239</v>
      </c>
    </row>
    <row r="32" spans="1:11" ht="15.5" x14ac:dyDescent="0.3">
      <c r="A32" s="11" t="s">
        <v>145</v>
      </c>
      <c r="B32" s="11">
        <v>123</v>
      </c>
      <c r="C32" s="11">
        <v>1500</v>
      </c>
      <c r="D32" s="11">
        <v>359</v>
      </c>
      <c r="E32" s="11">
        <v>16.399999999999999</v>
      </c>
      <c r="F32" s="11">
        <v>14.4</v>
      </c>
      <c r="G32" s="11">
        <v>5.8</v>
      </c>
      <c r="H32" s="11">
        <v>39.299999999999997</v>
      </c>
      <c r="I32" s="11">
        <v>3.8</v>
      </c>
      <c r="J32" s="11">
        <v>2.1</v>
      </c>
      <c r="K32" s="11">
        <v>737</v>
      </c>
    </row>
    <row r="33" spans="1:11" ht="15.5" x14ac:dyDescent="0.3">
      <c r="A33" s="11" t="s">
        <v>146</v>
      </c>
      <c r="B33" s="11">
        <v>94</v>
      </c>
      <c r="C33" s="11">
        <v>1110</v>
      </c>
      <c r="D33" s="11">
        <v>266</v>
      </c>
      <c r="E33" s="11">
        <v>9.6</v>
      </c>
      <c r="F33" s="11">
        <v>16.899999999999999</v>
      </c>
      <c r="G33" s="11">
        <v>5</v>
      </c>
      <c r="H33" s="11">
        <v>19.3</v>
      </c>
      <c r="I33" s="11">
        <v>2.2999999999999998</v>
      </c>
      <c r="J33" s="11">
        <v>3.5</v>
      </c>
      <c r="K33" s="11">
        <v>378</v>
      </c>
    </row>
    <row r="34" spans="1:11" ht="15.5" x14ac:dyDescent="0.3">
      <c r="A34" s="11" t="s">
        <v>147</v>
      </c>
      <c r="B34" s="11">
        <v>93</v>
      </c>
      <c r="C34" s="11">
        <v>1140</v>
      </c>
      <c r="D34" s="11">
        <v>272</v>
      </c>
      <c r="E34" s="11">
        <v>8.4</v>
      </c>
      <c r="F34" s="11">
        <v>8.5</v>
      </c>
      <c r="G34" s="11">
        <v>1.5</v>
      </c>
      <c r="H34" s="11">
        <v>39.299999999999997</v>
      </c>
      <c r="I34" s="11">
        <v>3.8</v>
      </c>
      <c r="J34" s="11">
        <v>2.1</v>
      </c>
      <c r="K34" s="11">
        <v>590</v>
      </c>
    </row>
    <row r="35" spans="1:11" ht="15.5" x14ac:dyDescent="0.3">
      <c r="A35" s="11" t="s">
        <v>148</v>
      </c>
      <c r="B35" s="11">
        <v>127</v>
      </c>
      <c r="C35" s="11">
        <v>1040</v>
      </c>
      <c r="D35" s="11">
        <v>248</v>
      </c>
      <c r="E35" s="11">
        <v>13.8</v>
      </c>
      <c r="F35" s="11">
        <v>6.4</v>
      </c>
      <c r="G35" s="11">
        <v>2.7</v>
      </c>
      <c r="H35" s="11">
        <v>32.5</v>
      </c>
      <c r="I35" s="11">
        <v>4.7</v>
      </c>
      <c r="J35" s="11">
        <v>1.8</v>
      </c>
      <c r="K35" s="11">
        <v>568</v>
      </c>
    </row>
    <row r="36" spans="1:11" ht="15.5" x14ac:dyDescent="0.3">
      <c r="A36" s="11" t="s">
        <v>149</v>
      </c>
      <c r="B36" s="11">
        <v>194</v>
      </c>
      <c r="C36" s="11">
        <v>1060</v>
      </c>
      <c r="D36" s="11">
        <v>254</v>
      </c>
      <c r="E36" s="11">
        <v>110</v>
      </c>
      <c r="F36" s="11">
        <v>12.2</v>
      </c>
      <c r="G36" s="11">
        <v>5.4</v>
      </c>
      <c r="H36" s="11">
        <v>14.6</v>
      </c>
      <c r="I36" s="11">
        <v>7.6</v>
      </c>
      <c r="J36" s="11">
        <v>2.2000000000000002</v>
      </c>
      <c r="K36" s="11">
        <v>746</v>
      </c>
    </row>
    <row r="37" spans="1:11" ht="15.5" x14ac:dyDescent="0.3">
      <c r="A37" s="12" t="s">
        <v>168</v>
      </c>
      <c r="B37" s="14"/>
      <c r="C37" s="14"/>
      <c r="D37" s="14"/>
      <c r="E37" s="14"/>
      <c r="F37" s="14"/>
      <c r="G37" s="14"/>
      <c r="H37" s="14"/>
      <c r="I37" s="14"/>
      <c r="J37" s="14"/>
      <c r="K37" s="14"/>
    </row>
    <row r="38" spans="1:11" ht="15.5" x14ac:dyDescent="0.3">
      <c r="A38" s="11" t="s">
        <v>150</v>
      </c>
      <c r="B38" s="11">
        <v>45</v>
      </c>
      <c r="C38" s="11">
        <v>909</v>
      </c>
      <c r="D38" s="11">
        <v>217</v>
      </c>
      <c r="E38" s="11">
        <v>2.4</v>
      </c>
      <c r="F38" s="11">
        <v>10.4</v>
      </c>
      <c r="G38" s="11">
        <v>6.5</v>
      </c>
      <c r="H38" s="11">
        <v>28.5</v>
      </c>
      <c r="I38" s="11">
        <v>17.5</v>
      </c>
      <c r="J38" s="11">
        <v>0.9</v>
      </c>
      <c r="K38" s="11">
        <v>161</v>
      </c>
    </row>
    <row r="39" spans="1:11" ht="15.5" x14ac:dyDescent="0.3">
      <c r="A39" s="11" t="s">
        <v>170</v>
      </c>
      <c r="B39" s="11">
        <v>45</v>
      </c>
      <c r="C39" s="11">
        <v>891</v>
      </c>
      <c r="D39" s="11">
        <v>213</v>
      </c>
      <c r="E39" s="11">
        <v>2.5</v>
      </c>
      <c r="F39" s="11">
        <v>9.8000000000000007</v>
      </c>
      <c r="G39" s="11">
        <v>5.4</v>
      </c>
      <c r="H39" s="11">
        <v>28.5</v>
      </c>
      <c r="I39" s="11">
        <v>16.7</v>
      </c>
      <c r="J39" s="11">
        <v>0.9</v>
      </c>
      <c r="K39" s="11">
        <v>172</v>
      </c>
    </row>
    <row r="40" spans="1:11" ht="15.5" x14ac:dyDescent="0.3">
      <c r="A40" s="11" t="s">
        <v>151</v>
      </c>
      <c r="B40" s="11">
        <v>45</v>
      </c>
      <c r="C40" s="11">
        <v>891</v>
      </c>
      <c r="D40" s="11">
        <v>213</v>
      </c>
      <c r="E40" s="11">
        <v>2.5</v>
      </c>
      <c r="F40" s="11">
        <v>9.9</v>
      </c>
      <c r="G40" s="11">
        <v>6.8</v>
      </c>
      <c r="H40" s="11">
        <v>28.4</v>
      </c>
      <c r="I40" s="11">
        <v>18.5</v>
      </c>
      <c r="J40" s="11">
        <v>1.2</v>
      </c>
      <c r="K40" s="11">
        <v>160</v>
      </c>
    </row>
    <row r="41" spans="1:11" ht="15.5" x14ac:dyDescent="0.3">
      <c r="A41" s="11" t="s">
        <v>152</v>
      </c>
      <c r="B41" s="11">
        <v>45</v>
      </c>
      <c r="C41" s="11">
        <v>796</v>
      </c>
      <c r="D41" s="11">
        <v>190</v>
      </c>
      <c r="E41" s="11">
        <v>2.5</v>
      </c>
      <c r="F41" s="11">
        <v>6.9</v>
      </c>
      <c r="G41" s="11">
        <v>3.4</v>
      </c>
      <c r="H41" s="11">
        <v>29.3</v>
      </c>
      <c r="I41" s="11">
        <v>17.5</v>
      </c>
      <c r="J41" s="11">
        <v>1.4</v>
      </c>
      <c r="K41" s="11">
        <v>176</v>
      </c>
    </row>
    <row r="42" spans="1:11" ht="15.5" x14ac:dyDescent="0.3">
      <c r="A42" s="11" t="s">
        <v>153</v>
      </c>
      <c r="B42" s="11">
        <v>45</v>
      </c>
      <c r="C42" s="11">
        <v>914</v>
      </c>
      <c r="D42" s="11">
        <v>218</v>
      </c>
      <c r="E42" s="11">
        <v>2.6</v>
      </c>
      <c r="F42" s="11">
        <v>11</v>
      </c>
      <c r="G42" s="11">
        <v>6.3</v>
      </c>
      <c r="H42" s="11">
        <v>27.2</v>
      </c>
      <c r="I42" s="11">
        <v>17.3</v>
      </c>
      <c r="J42" s="11">
        <v>0.8</v>
      </c>
      <c r="K42" s="11">
        <v>196</v>
      </c>
    </row>
    <row r="43" spans="1:11" ht="15.5" x14ac:dyDescent="0.3">
      <c r="A43" s="12" t="s">
        <v>169</v>
      </c>
      <c r="B43" s="12"/>
      <c r="C43" s="12"/>
      <c r="D43" s="12"/>
      <c r="E43" s="12"/>
      <c r="F43" s="12"/>
      <c r="G43" s="12"/>
      <c r="H43" s="14"/>
      <c r="I43" s="14"/>
      <c r="J43" s="14"/>
      <c r="K43" s="14"/>
    </row>
    <row r="44" spans="1:11" ht="15.5" x14ac:dyDescent="0.3">
      <c r="A44" s="11" t="s">
        <v>154</v>
      </c>
      <c r="B44" s="11">
        <v>115</v>
      </c>
      <c r="C44" s="11">
        <v>1420</v>
      </c>
      <c r="D44" s="11">
        <v>338</v>
      </c>
      <c r="E44" s="11">
        <v>6.1</v>
      </c>
      <c r="F44" s="11">
        <v>15.5</v>
      </c>
      <c r="G44" s="11">
        <v>9.1</v>
      </c>
      <c r="H44" s="11">
        <v>42.5</v>
      </c>
      <c r="I44" s="11">
        <v>13.9</v>
      </c>
      <c r="J44" s="11">
        <v>0</v>
      </c>
      <c r="K44" s="11">
        <v>357</v>
      </c>
    </row>
    <row r="45" spans="1:11" ht="15.5" x14ac:dyDescent="0.3">
      <c r="A45" s="11" t="s">
        <v>155</v>
      </c>
      <c r="B45" s="11">
        <v>115</v>
      </c>
      <c r="C45" s="11">
        <v>1380</v>
      </c>
      <c r="D45" s="11">
        <v>329</v>
      </c>
      <c r="E45" s="11">
        <v>5.6</v>
      </c>
      <c r="F45" s="11">
        <v>14.8</v>
      </c>
      <c r="G45" s="11">
        <v>8.6</v>
      </c>
      <c r="H45" s="11">
        <v>42.2</v>
      </c>
      <c r="I45" s="11">
        <v>14.3</v>
      </c>
      <c r="J45" s="11">
        <v>0</v>
      </c>
      <c r="K45" s="11">
        <v>344</v>
      </c>
    </row>
    <row r="46" spans="1:11" ht="15.5" x14ac:dyDescent="0.3">
      <c r="A46" s="11" t="s">
        <v>156</v>
      </c>
      <c r="B46" s="11">
        <v>115</v>
      </c>
      <c r="C46" s="11">
        <v>1420</v>
      </c>
      <c r="D46" s="11">
        <v>338</v>
      </c>
      <c r="E46" s="11">
        <v>5.9</v>
      </c>
      <c r="F46" s="11">
        <v>36.200000000000003</v>
      </c>
      <c r="G46" s="11">
        <v>9.1</v>
      </c>
      <c r="H46" s="11">
        <v>43.1</v>
      </c>
      <c r="I46" s="11">
        <v>13.2</v>
      </c>
      <c r="J46" s="11">
        <v>0</v>
      </c>
      <c r="K46" s="11">
        <v>337</v>
      </c>
    </row>
  </sheetData>
  <mergeCells count="1">
    <mergeCell ref="B2:K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83EF20-AB52-4DE9-85DE-133A4BC1C29A}">
  <sheetPr codeName="Sheet8"/>
  <dimension ref="A1:K61"/>
  <sheetViews>
    <sheetView topLeftCell="A19" zoomScale="85" zoomScaleNormal="96" workbookViewId="0">
      <selection activeCell="L36" sqref="L36"/>
    </sheetView>
  </sheetViews>
  <sheetFormatPr defaultRowHeight="13" x14ac:dyDescent="0.3"/>
  <cols>
    <col min="1" max="1" width="68.296875" bestFit="1" customWidth="1"/>
    <col min="2" max="2" width="18.19921875" bestFit="1" customWidth="1"/>
    <col min="3" max="3" width="14.09765625" bestFit="1" customWidth="1"/>
    <col min="4" max="4" width="16.19921875" bestFit="1" customWidth="1"/>
    <col min="5" max="5" width="13.796875" bestFit="1" customWidth="1"/>
    <col min="6" max="6" width="15.796875" bestFit="1" customWidth="1"/>
    <col min="7" max="7" width="13.69921875" bestFit="1" customWidth="1"/>
    <col min="8" max="8" width="21.3984375" bestFit="1" customWidth="1"/>
    <col min="9" max="9" width="13" bestFit="1" customWidth="1"/>
    <col min="10" max="10" width="19.3984375" bestFit="1" customWidth="1"/>
    <col min="11" max="11" width="16.09765625" bestFit="1" customWidth="1"/>
  </cols>
  <sheetData>
    <row r="1" spans="1:11" ht="15.5" x14ac:dyDescent="0.3">
      <c r="A1" s="13" t="s">
        <v>302</v>
      </c>
      <c r="B1" s="13" t="s">
        <v>157</v>
      </c>
      <c r="C1" s="13" t="s">
        <v>158</v>
      </c>
      <c r="D1" s="13" t="s">
        <v>159</v>
      </c>
      <c r="E1" s="13" t="s">
        <v>160</v>
      </c>
      <c r="F1" s="13" t="s">
        <v>161</v>
      </c>
      <c r="G1" s="13" t="s">
        <v>162</v>
      </c>
      <c r="H1" s="13" t="s">
        <v>163</v>
      </c>
      <c r="I1" s="13" t="s">
        <v>164</v>
      </c>
      <c r="J1" s="13" t="s">
        <v>165</v>
      </c>
      <c r="K1" s="13" t="s">
        <v>166</v>
      </c>
    </row>
    <row r="2" spans="1:11" ht="15.5" x14ac:dyDescent="0.3">
      <c r="A2" s="11" t="s">
        <v>121</v>
      </c>
      <c r="B2" s="22" cm="1">
        <f t="array" ref="B2">VLOOKUP(MeatT[[#This Row],[Meat (6-inch / Wrap)]:[Meat (6-inch / Wrap)]], 'Cleaned sheet 1'!$A$1:$K$46, 2, FALSE) - $B$44</f>
        <v>85</v>
      </c>
      <c r="C2" s="22" cm="1">
        <f t="array" ref="C2">VLOOKUP(MeatT[[#This Row],[Meat (6-inch / Wrap)]:[Meat (6-inch / Wrap)]], 'Cleaned sheet 1'!$A$1:$K$46, 3, FALSE) - $C$44</f>
        <v>351.50000000000011</v>
      </c>
      <c r="D2" s="22" cm="1">
        <f t="array" ref="D2">VLOOKUP(MeatT[[#This Row],[Meat (6-inch / Wrap)]:[Meat (6-inch / Wrap)]], 'Cleaned sheet 1'!$A$1:$K$46, 4, FALSE) - $D$44</f>
        <v>83.999999999999972</v>
      </c>
      <c r="E2" s="22" cm="1">
        <f t="array" ref="E2">VLOOKUP(MeatT[[#This Row],[Meat (6-inch / Wrap)]:[Meat (6-inch / Wrap)]], 'Cleaned sheet 1'!$A$1:$K$46, 5, FALSE) - $E$44</f>
        <v>14.700000000000001</v>
      </c>
      <c r="F2" s="22" cm="1">
        <f t="array" ref="F2">VLOOKUP(MeatT[[#This Row],[Meat (6-inch / Wrap)]:[Meat (6-inch / Wrap)]], 'Cleaned sheet 1'!$A$1:$K$46, 6, FALSE) - $F$44</f>
        <v>1.8999999999999995</v>
      </c>
      <c r="G2" s="22" cm="1">
        <f t="array" ref="G2">VLOOKUP(MeatT[[#This Row],[Meat (6-inch / Wrap)]:[Meat (6-inch / Wrap)]], 'Cleaned sheet 1'!$A$1:$K$46, 7, FALSE) - $G$44</f>
        <v>0.7</v>
      </c>
      <c r="H2" s="22" cm="1">
        <f t="array" ref="H2">VLOOKUP(MeatT[[#This Row],[Meat (6-inch / Wrap)]:[Meat (6-inch / Wrap)]], 'Cleaned sheet 1'!$A$1:$K$46, 8, FALSE) - $H$44</f>
        <v>3.5999999999999943</v>
      </c>
      <c r="I2" s="22" cm="1">
        <f t="array" ref="I2">VLOOKUP(MeatT[[#This Row],[Meat (6-inch / Wrap)]:[Meat (6-inch / Wrap)]], 'Cleaned sheet 1'!$A$1:$K$46, 9, FALSE) - $I$44</f>
        <v>2.8</v>
      </c>
      <c r="J2" s="22" cm="1">
        <f t="array" ref="J2">VLOOKUP(MeatT[[#This Row],[Meat (6-inch / Wrap)]:[Meat (6-inch / Wrap)]], 'Cleaned sheet 1'!$A$1:$K$46, 10, FALSE) - $J$44</f>
        <v>0.99999999999999956</v>
      </c>
      <c r="K2" s="22" cm="1">
        <f t="array" ref="K2">VLOOKUP(MeatT[[#This Row],[Meat (6-inch / Wrap)]:[Meat (6-inch / Wrap)]], 'Cleaned sheet 1'!$A$1:$K$46, 11, FALSE) - $K$44</f>
        <v>850.8</v>
      </c>
    </row>
    <row r="3" spans="1:11" ht="15.5" x14ac:dyDescent="0.3">
      <c r="A3" s="11" t="s">
        <v>122</v>
      </c>
      <c r="B3" s="22" cm="1">
        <f t="array" ref="B3">VLOOKUP(MeatT[[#This Row],[Meat (6-inch / Wrap)]:[Meat (6-inch / Wrap)]], 'Cleaned sheet 1'!$A$1:$K$46, 2, FALSE) - $B$44</f>
        <v>108</v>
      </c>
      <c r="C3" s="22" cm="1">
        <f t="array" ref="C3">VLOOKUP(MeatT[[#This Row],[Meat (6-inch / Wrap)]:[Meat (6-inch / Wrap)]], 'Cleaned sheet 1'!$A$1:$K$46, 3, FALSE) - $C$44</f>
        <v>1031.5</v>
      </c>
      <c r="D3" s="22" cm="1">
        <f t="array" ref="D3">VLOOKUP(MeatT[[#This Row],[Meat (6-inch / Wrap)]:[Meat (6-inch / Wrap)]], 'Cleaned sheet 1'!$A$1:$K$46, 4, FALSE) - $D$44</f>
        <v>245.99999999999997</v>
      </c>
      <c r="E3" s="22" cm="1">
        <f t="array" ref="E3">VLOOKUP(MeatT[[#This Row],[Meat (6-inch / Wrap)]:[Meat (6-inch / Wrap)]], 'Cleaned sheet 1'!$A$1:$K$46, 5, FALSE) - $E$44</f>
        <v>21.700000000000003</v>
      </c>
      <c r="F3" s="22" cm="1">
        <f t="array" ref="F3">VLOOKUP(MeatT[[#This Row],[Meat (6-inch / Wrap)]:[Meat (6-inch / Wrap)]], 'Cleaned sheet 1'!$A$1:$K$46, 6, FALSE) - $F$44</f>
        <v>17.600000000000001</v>
      </c>
      <c r="G3" s="22" cm="1">
        <f t="array" ref="G3">VLOOKUP(MeatT[[#This Row],[Meat (6-inch / Wrap)]:[Meat (6-inch / Wrap)]], 'Cleaned sheet 1'!$A$1:$K$46, 7, FALSE) - $G$44</f>
        <v>5.7</v>
      </c>
      <c r="H3" s="22" cm="1">
        <f t="array" ref="H3">VLOOKUP(MeatT[[#This Row],[Meat (6-inch / Wrap)]:[Meat (6-inch / Wrap)]], 'Cleaned sheet 1'!$A$1:$K$46, 8, FALSE) - $H$44</f>
        <v>2.1999999999999957</v>
      </c>
      <c r="I3" s="22" cm="1">
        <f t="array" ref="I3">VLOOKUP(MeatT[[#This Row],[Meat (6-inch / Wrap)]:[Meat (6-inch / Wrap)]], 'Cleaned sheet 1'!$A$1:$K$46, 9, FALSE) - $I$44</f>
        <v>1.5</v>
      </c>
      <c r="J3" s="22" cm="1">
        <f t="array" ref="J3">VLOOKUP(MeatT[[#This Row],[Meat (6-inch / Wrap)]:[Meat (6-inch / Wrap)]], 'Cleaned sheet 1'!$A$1:$K$46, 10, FALSE) - $J$44</f>
        <v>0.99999999999999956</v>
      </c>
      <c r="K3" s="22" cm="1">
        <f t="array" ref="K3">VLOOKUP(MeatT[[#This Row],[Meat (6-inch / Wrap)]:[Meat (6-inch / Wrap)]], 'Cleaned sheet 1'!$A$1:$K$46, 11, FALSE) - $K$44</f>
        <v>735.8</v>
      </c>
    </row>
    <row r="4" spans="1:11" ht="15.5" x14ac:dyDescent="0.3">
      <c r="A4" s="11" t="s">
        <v>123</v>
      </c>
      <c r="B4" s="22" cm="1">
        <f t="array" ref="B4">VLOOKUP(MeatT[[#This Row],[Meat (6-inch / Wrap)]:[Meat (6-inch / Wrap)]], 'Cleaned sheet 1'!$A$1:$K$46, 2, FALSE) - $B$44</f>
        <v>60</v>
      </c>
      <c r="C4" s="22" cm="1">
        <f t="array" ref="C4">VLOOKUP(MeatT[[#This Row],[Meat (6-inch / Wrap)]:[Meat (6-inch / Wrap)]], 'Cleaned sheet 1'!$A$1:$K$46, 3, FALSE) - $C$44</f>
        <v>531.50000000000011</v>
      </c>
      <c r="D4" s="22" cm="1">
        <f t="array" ref="D4">VLOOKUP(MeatT[[#This Row],[Meat (6-inch / Wrap)]:[Meat (6-inch / Wrap)]], 'Cleaned sheet 1'!$A$1:$K$46, 4, FALSE) - $D$44</f>
        <v>126.99999999999997</v>
      </c>
      <c r="E4" s="22" cm="1">
        <f t="array" ref="E4">VLOOKUP(MeatT[[#This Row],[Meat (6-inch / Wrap)]:[Meat (6-inch / Wrap)]], 'Cleaned sheet 1'!$A$1:$K$46, 5, FALSE) - $E$44</f>
        <v>9.4999999999999982</v>
      </c>
      <c r="F4" s="22" cm="1">
        <f t="array" ref="F4">VLOOKUP(MeatT[[#This Row],[Meat (6-inch / Wrap)]:[Meat (6-inch / Wrap)]], 'Cleaned sheet 1'!$A$1:$K$46, 6, FALSE) - $F$44</f>
        <v>8.1000000000000014</v>
      </c>
      <c r="G4" s="22" cm="1">
        <f t="array" ref="G4">VLOOKUP(MeatT[[#This Row],[Meat (6-inch / Wrap)]:[Meat (6-inch / Wrap)]], 'Cleaned sheet 1'!$A$1:$K$46, 7, FALSE) - $G$44</f>
        <v>1.7</v>
      </c>
      <c r="H4" s="22" cm="1">
        <f t="array" ref="H4">VLOOKUP(MeatT[[#This Row],[Meat (6-inch / Wrap)]:[Meat (6-inch / Wrap)]], 'Cleaned sheet 1'!$A$1:$K$46, 8, FALSE) - $H$44</f>
        <v>3.3999999999999986</v>
      </c>
      <c r="I4" s="22" cm="1">
        <f t="array" ref="I4">VLOOKUP(MeatT[[#This Row],[Meat (6-inch / Wrap)]:[Meat (6-inch / Wrap)]], 'Cleaned sheet 1'!$A$1:$K$46, 9, FALSE) - $I$44</f>
        <v>0.5</v>
      </c>
      <c r="J4" s="22" cm="1">
        <f t="array" ref="J4">VLOOKUP(MeatT[[#This Row],[Meat (6-inch / Wrap)]:[Meat (6-inch / Wrap)]], 'Cleaned sheet 1'!$A$1:$K$46, 10, FALSE) - $J$44</f>
        <v>0</v>
      </c>
      <c r="K4" s="22" cm="1">
        <f t="array" ref="K4">VLOOKUP(MeatT[[#This Row],[Meat (6-inch / Wrap)]:[Meat (6-inch / Wrap)]], 'Cleaned sheet 1'!$A$1:$K$46, 11, FALSE) - $K$44</f>
        <v>389.79999999999995</v>
      </c>
    </row>
    <row r="5" spans="1:11" ht="15.5" x14ac:dyDescent="0.3">
      <c r="A5" s="11" t="s">
        <v>124</v>
      </c>
      <c r="B5" s="22" cm="1">
        <f t="array" ref="B5">VLOOKUP(MeatT[[#This Row],[Meat (6-inch / Wrap)]:[Meat (6-inch / Wrap)]], 'Cleaned sheet 1'!$A$1:$K$46, 2, FALSE) - $B$44</f>
        <v>64</v>
      </c>
      <c r="C5" s="22" cm="1">
        <f t="array" ref="C5">VLOOKUP(MeatT[[#This Row],[Meat (6-inch / Wrap)]:[Meat (6-inch / Wrap)]], 'Cleaned sheet 1'!$A$1:$K$46, 3, FALSE) - $C$44</f>
        <v>281.50000000000011</v>
      </c>
      <c r="D5" s="22" cm="1">
        <f t="array" ref="D5">VLOOKUP(MeatT[[#This Row],[Meat (6-inch / Wrap)]:[Meat (6-inch / Wrap)]], 'Cleaned sheet 1'!$A$1:$K$46, 4, FALSE) - $D$44</f>
        <v>68.999999999999972</v>
      </c>
      <c r="E5" s="22" cm="1">
        <f t="array" ref="E5">VLOOKUP(MeatT[[#This Row],[Meat (6-inch / Wrap)]:[Meat (6-inch / Wrap)]], 'Cleaned sheet 1'!$A$1:$K$46, 5, FALSE) - $E$44</f>
        <v>14.4</v>
      </c>
      <c r="F5" s="22" cm="1">
        <f t="array" ref="F5">VLOOKUP(MeatT[[#This Row],[Meat (6-inch / Wrap)]:[Meat (6-inch / Wrap)]], 'Cleaned sheet 1'!$A$1:$K$46, 6, FALSE) - $F$44</f>
        <v>1.7999999999999998</v>
      </c>
      <c r="G5" s="22" cm="1">
        <f t="array" ref="G5">VLOOKUP(MeatT[[#This Row],[Meat (6-inch / Wrap)]:[Meat (6-inch / Wrap)]], 'Cleaned sheet 1'!$A$1:$K$46, 7, FALSE) - $G$44</f>
        <v>0.60000000000000009</v>
      </c>
      <c r="H5" s="22" cm="1">
        <f t="array" ref="H5">VLOOKUP(MeatT[[#This Row],[Meat (6-inch / Wrap)]:[Meat (6-inch / Wrap)]], 'Cleaned sheet 1'!$A$1:$K$46, 8, FALSE) - $H$44</f>
        <v>0.69999999999999574</v>
      </c>
      <c r="I5" s="22" cm="1">
        <f t="array" ref="I5">VLOOKUP(MeatT[[#This Row],[Meat (6-inch / Wrap)]:[Meat (6-inch / Wrap)]], 'Cleaned sheet 1'!$A$1:$K$46, 9, FALSE) - $I$44</f>
        <v>0.59999999999999964</v>
      </c>
      <c r="J5" s="22" cm="1">
        <f t="array" ref="J5">VLOOKUP(MeatT[[#This Row],[Meat (6-inch / Wrap)]:[Meat (6-inch / Wrap)]], 'Cleaned sheet 1'!$A$1:$K$46, 10, FALSE) - $J$44</f>
        <v>0.89999999999999947</v>
      </c>
      <c r="K5" s="22" cm="1">
        <f t="array" ref="K5">VLOOKUP(MeatT[[#This Row],[Meat (6-inch / Wrap)]:[Meat (6-inch / Wrap)]], 'Cleaned sheet 1'!$A$1:$K$46, 11, FALSE) - $K$44</f>
        <v>267.79999999999995</v>
      </c>
    </row>
    <row r="6" spans="1:11" ht="15.5" x14ac:dyDescent="0.3">
      <c r="A6" s="11" t="s">
        <v>125</v>
      </c>
      <c r="B6" s="22" cm="1">
        <f t="array" ref="B6">VLOOKUP(MeatT[[#This Row],[Meat (6-inch / Wrap)]:[Meat (6-inch / Wrap)]], 'Cleaned sheet 1'!$A$1:$K$46, 2, FALSE) - $B$44</f>
        <v>85</v>
      </c>
      <c r="C6" s="22" cm="1">
        <f t="array" ref="C6">VLOOKUP(MeatT[[#This Row],[Meat (6-inch / Wrap)]:[Meat (6-inch / Wrap)]], 'Cleaned sheet 1'!$A$1:$K$46, 3, FALSE) - $C$44</f>
        <v>421.50000000000011</v>
      </c>
      <c r="D6" s="22" cm="1">
        <f t="array" ref="D6">VLOOKUP(MeatT[[#This Row],[Meat (6-inch / Wrap)]:[Meat (6-inch / Wrap)]], 'Cleaned sheet 1'!$A$1:$K$46, 4, FALSE) - $D$44</f>
        <v>100.99999999999997</v>
      </c>
      <c r="E6" s="22" cm="1">
        <f t="array" ref="E6">VLOOKUP(MeatT[[#This Row],[Meat (6-inch / Wrap)]:[Meat (6-inch / Wrap)]], 'Cleaned sheet 1'!$A$1:$K$46, 5, FALSE) - $E$44</f>
        <v>14.499999999999998</v>
      </c>
      <c r="F6" s="22" cm="1">
        <f t="array" ref="F6">VLOOKUP(MeatT[[#This Row],[Meat (6-inch / Wrap)]:[Meat (6-inch / Wrap)]], 'Cleaned sheet 1'!$A$1:$K$46, 6, FALSE) - $F$44</f>
        <v>1.8999999999999995</v>
      </c>
      <c r="G6" s="22" cm="1">
        <f t="array" ref="G6">VLOOKUP(MeatT[[#This Row],[Meat (6-inch / Wrap)]:[Meat (6-inch / Wrap)]], 'Cleaned sheet 1'!$A$1:$K$46, 7, FALSE) - $G$44</f>
        <v>0.60000000000000009</v>
      </c>
      <c r="H6" s="22" cm="1">
        <f t="array" ref="H6">VLOOKUP(MeatT[[#This Row],[Meat (6-inch / Wrap)]:[Meat (6-inch / Wrap)]], 'Cleaned sheet 1'!$A$1:$K$46, 8, FALSE) - $H$44</f>
        <v>8.0999999999999943</v>
      </c>
      <c r="I6" s="22" cm="1">
        <f t="array" ref="I6">VLOOKUP(MeatT[[#This Row],[Meat (6-inch / Wrap)]:[Meat (6-inch / Wrap)]], 'Cleaned sheet 1'!$A$1:$K$46, 9, FALSE) - $I$44</f>
        <v>4.8999999999999995</v>
      </c>
      <c r="J6" s="22" cm="1">
        <f t="array" ref="J6">VLOOKUP(MeatT[[#This Row],[Meat (6-inch / Wrap)]:[Meat (6-inch / Wrap)]], 'Cleaned sheet 1'!$A$1:$K$46, 10, FALSE) - $J$44</f>
        <v>0.89999999999999947</v>
      </c>
      <c r="K6" s="22" cm="1">
        <f t="array" ref="K6">VLOOKUP(MeatT[[#This Row],[Meat (6-inch / Wrap)]:[Meat (6-inch / Wrap)]], 'Cleaned sheet 1'!$A$1:$K$46, 11, FALSE) - $K$44</f>
        <v>462.79999999999995</v>
      </c>
    </row>
    <row r="7" spans="1:11" ht="15.5" x14ac:dyDescent="0.3">
      <c r="A7" s="11" t="s">
        <v>126</v>
      </c>
      <c r="B7" s="22" cm="1">
        <f t="array" ref="B7">VLOOKUP(MeatT[[#This Row],[Meat (6-inch / Wrap)]:[Meat (6-inch / Wrap)]], 'Cleaned sheet 1'!$A$1:$K$46, 2, FALSE) - $B$44</f>
        <v>56</v>
      </c>
      <c r="C7" s="22" cm="1">
        <f t="array" ref="C7">VLOOKUP(MeatT[[#This Row],[Meat (6-inch / Wrap)]:[Meat (6-inch / Wrap)]], 'Cleaned sheet 1'!$A$1:$K$46, 3, FALSE) - $C$44</f>
        <v>681.50000000000011</v>
      </c>
      <c r="D7" s="22" cm="1">
        <f t="array" ref="D7">VLOOKUP(MeatT[[#This Row],[Meat (6-inch / Wrap)]:[Meat (6-inch / Wrap)]], 'Cleaned sheet 1'!$A$1:$K$46, 4, FALSE) - $D$44</f>
        <v>161.99999999999997</v>
      </c>
      <c r="E7" s="22" cm="1">
        <f t="array" ref="E7">VLOOKUP(MeatT[[#This Row],[Meat (6-inch / Wrap)]:[Meat (6-inch / Wrap)]], 'Cleaned sheet 1'!$A$1:$K$46, 5, FALSE) - $E$44</f>
        <v>11.700000000000001</v>
      </c>
      <c r="F7" s="22" cm="1">
        <f t="array" ref="F7">VLOOKUP(MeatT[[#This Row],[Meat (6-inch / Wrap)]:[Meat (6-inch / Wrap)]], 'Cleaned sheet 1'!$A$1:$K$46, 6, FALSE) - $F$44</f>
        <v>12.399999999999999</v>
      </c>
      <c r="G7" s="22" cm="1">
        <f t="array" ref="G7">VLOOKUP(MeatT[[#This Row],[Meat (6-inch / Wrap)]:[Meat (6-inch / Wrap)]], 'Cleaned sheet 1'!$A$1:$K$46, 7, FALSE) - $G$44</f>
        <v>4.9000000000000004</v>
      </c>
      <c r="H7" s="22" cm="1">
        <f t="array" ref="H7">VLOOKUP(MeatT[[#This Row],[Meat (6-inch / Wrap)]:[Meat (6-inch / Wrap)]], 'Cleaned sheet 1'!$A$1:$K$46, 8, FALSE) - $H$44</f>
        <v>1.5999999999999943</v>
      </c>
      <c r="I7" s="22" cm="1">
        <f t="array" ref="I7">VLOOKUP(MeatT[[#This Row],[Meat (6-inch / Wrap)]:[Meat (6-inch / Wrap)]], 'Cleaned sheet 1'!$A$1:$K$46, 9, FALSE) - $I$44</f>
        <v>0.70000000000000018</v>
      </c>
      <c r="J7" s="22" cm="1">
        <f t="array" ref="J7">VLOOKUP(MeatT[[#This Row],[Meat (6-inch / Wrap)]:[Meat (6-inch / Wrap)]], 'Cleaned sheet 1'!$A$1:$K$46, 10, FALSE) - $J$44</f>
        <v>0</v>
      </c>
      <c r="K7" s="22" cm="1">
        <f t="array" ref="K7">VLOOKUP(MeatT[[#This Row],[Meat (6-inch / Wrap)]:[Meat (6-inch / Wrap)]], 'Cleaned sheet 1'!$A$1:$K$46, 11, FALSE) - $K$44</f>
        <v>760.8</v>
      </c>
    </row>
    <row r="8" spans="1:11" ht="15.5" x14ac:dyDescent="0.3">
      <c r="A8" s="11" t="s">
        <v>127</v>
      </c>
      <c r="B8" s="22" cm="1">
        <f t="array" ref="B8">VLOOKUP(MeatT[[#This Row],[Meat (6-inch / Wrap)]:[Meat (6-inch / Wrap)]], 'Cleaned sheet 1'!$A$1:$K$46, 2, FALSE) - $B$44</f>
        <v>40</v>
      </c>
      <c r="C8" s="22" cm="1">
        <f t="array" ref="C8">VLOOKUP(MeatT[[#This Row],[Meat (6-inch / Wrap)]:[Meat (6-inch / Wrap)]], 'Cleaned sheet 1'!$A$1:$K$46, 3, FALSE) - $C$44</f>
        <v>171.50000000000011</v>
      </c>
      <c r="D8" s="22" cm="1">
        <f t="array" ref="D8">VLOOKUP(MeatT[[#This Row],[Meat (6-inch / Wrap)]:[Meat (6-inch / Wrap)]], 'Cleaned sheet 1'!$A$1:$K$46, 4, FALSE) - $D$44</f>
        <v>39.999999999999972</v>
      </c>
      <c r="E8" s="22" cm="1">
        <f t="array" ref="E8">VLOOKUP(MeatT[[#This Row],[Meat (6-inch / Wrap)]:[Meat (6-inch / Wrap)]], 'Cleaned sheet 1'!$A$1:$K$46, 5, FALSE) - $E$44</f>
        <v>7</v>
      </c>
      <c r="F8" s="22" cm="1">
        <f t="array" ref="F8">VLOOKUP(MeatT[[#This Row],[Meat (6-inch / Wrap)]:[Meat (6-inch / Wrap)]], 'Cleaned sheet 1'!$A$1:$K$46, 6, FALSE) - $F$44</f>
        <v>1.2999999999999998</v>
      </c>
      <c r="G8" s="22" cm="1">
        <f t="array" ref="G8">VLOOKUP(MeatT[[#This Row],[Meat (6-inch / Wrap)]:[Meat (6-inch / Wrap)]], 'Cleaned sheet 1'!$A$1:$K$46, 7, FALSE) - $G$44</f>
        <v>0.5</v>
      </c>
      <c r="H8" s="22" cm="1">
        <f t="array" ref="H8">VLOOKUP(MeatT[[#This Row],[Meat (6-inch / Wrap)]:[Meat (6-inch / Wrap)]], 'Cleaned sheet 1'!$A$1:$K$46, 8, FALSE) - $H$44</f>
        <v>0.69999999999999574</v>
      </c>
      <c r="I8" s="22" cm="1">
        <f t="array" ref="I8">VLOOKUP(MeatT[[#This Row],[Meat (6-inch / Wrap)]:[Meat (6-inch / Wrap)]], 'Cleaned sheet 1'!$A$1:$K$46, 9, FALSE) - $I$44</f>
        <v>0.59999999999999964</v>
      </c>
      <c r="J8" s="22" cm="1">
        <f t="array" ref="J8">VLOOKUP(MeatT[[#This Row],[Meat (6-inch / Wrap)]:[Meat (6-inch / Wrap)]], 'Cleaned sheet 1'!$A$1:$K$46, 10, FALSE) - $J$44</f>
        <v>0</v>
      </c>
      <c r="K8" s="22" cm="1">
        <f t="array" ref="K8">VLOOKUP(MeatT[[#This Row],[Meat (6-inch / Wrap)]:[Meat (6-inch / Wrap)]], 'Cleaned sheet 1'!$A$1:$K$46, 11, FALSE) - $K$44</f>
        <v>439.79999999999995</v>
      </c>
    </row>
    <row r="9" spans="1:11" ht="15.5" x14ac:dyDescent="0.3">
      <c r="A9" s="11" t="s">
        <v>128</v>
      </c>
      <c r="B9" s="22" cm="1">
        <f t="array" ref="B9">VLOOKUP(MeatT[[#This Row],[Meat (6-inch / Wrap)]:[Meat (6-inch / Wrap)]], 'Cleaned sheet 1'!$A$1:$K$46, 2, FALSE) - $B$44</f>
        <v>139</v>
      </c>
      <c r="C9" s="22" cm="1">
        <f t="array" ref="C9">VLOOKUP(MeatT[[#This Row],[Meat (6-inch / Wrap)]:[Meat (6-inch / Wrap)]], 'Cleaned sheet 1'!$A$1:$K$46, 3, FALSE) - $C$44</f>
        <v>821.50000000000011</v>
      </c>
      <c r="D9" s="22" cm="1">
        <f t="array" ref="D9">VLOOKUP(MeatT[[#This Row],[Meat (6-inch / Wrap)]:[Meat (6-inch / Wrap)]], 'Cleaned sheet 1'!$A$1:$K$46, 4, FALSE) - $D$44</f>
        <v>196.99999999999997</v>
      </c>
      <c r="E9" s="22" cm="1">
        <f t="array" ref="E9">VLOOKUP(MeatT[[#This Row],[Meat (6-inch / Wrap)]:[Meat (6-inch / Wrap)]], 'Cleaned sheet 1'!$A$1:$K$46, 5, FALSE) - $E$44</f>
        <v>14.1</v>
      </c>
      <c r="F9" s="22" cm="1">
        <f t="array" ref="F9">VLOOKUP(MeatT[[#This Row],[Meat (6-inch / Wrap)]:[Meat (6-inch / Wrap)]], 'Cleaned sheet 1'!$A$1:$K$46, 6, FALSE) - $F$44</f>
        <v>10.100000000000001</v>
      </c>
      <c r="G9" s="22" cm="1">
        <f t="array" ref="G9">VLOOKUP(MeatT[[#This Row],[Meat (6-inch / Wrap)]:[Meat (6-inch / Wrap)]], 'Cleaned sheet 1'!$A$1:$K$46, 7, FALSE) - $G$44</f>
        <v>5</v>
      </c>
      <c r="H9" s="22" cm="1">
        <f t="array" ref="H9">VLOOKUP(MeatT[[#This Row],[Meat (6-inch / Wrap)]:[Meat (6-inch / Wrap)]], 'Cleaned sheet 1'!$A$1:$K$46, 8, FALSE) - $H$44</f>
        <v>9.8999999999999986</v>
      </c>
      <c r="I9" s="22" cm="1">
        <f t="array" ref="I9">VLOOKUP(MeatT[[#This Row],[Meat (6-inch / Wrap)]:[Meat (6-inch / Wrap)]], 'Cleaned sheet 1'!$A$1:$K$46, 9, FALSE) - $I$44</f>
        <v>5.1000000000000005</v>
      </c>
      <c r="J9" s="22" cm="1">
        <f t="array" ref="J9">VLOOKUP(MeatT[[#This Row],[Meat (6-inch / Wrap)]:[Meat (6-inch / Wrap)]], 'Cleaned sheet 1'!$A$1:$K$46, 10, FALSE) - $J$44</f>
        <v>1.4999999999999996</v>
      </c>
      <c r="K9" s="22" cm="1">
        <f t="array" ref="K9">VLOOKUP(MeatT[[#This Row],[Meat (6-inch / Wrap)]:[Meat (6-inch / Wrap)]], 'Cleaned sheet 1'!$A$1:$K$46, 11, FALSE) - $K$44</f>
        <v>544.79999999999995</v>
      </c>
    </row>
    <row r="10" spans="1:11" ht="15.5" x14ac:dyDescent="0.3">
      <c r="A10" s="11" t="s">
        <v>129</v>
      </c>
      <c r="B10" s="22" cm="1">
        <f t="array" ref="B10">VLOOKUP(MeatT[[#This Row],[Meat (6-inch / Wrap)]:[Meat (6-inch / Wrap)]], 'Cleaned sheet 1'!$A$1:$K$46, 2, FALSE) - $B$44</f>
        <v>71</v>
      </c>
      <c r="C10" s="22" cm="1">
        <f t="array" ref="C10">VLOOKUP(MeatT[[#This Row],[Meat (6-inch / Wrap)]:[Meat (6-inch / Wrap)]], 'Cleaned sheet 1'!$A$1:$K$46, 3, FALSE) - $C$44</f>
        <v>821.50000000000011</v>
      </c>
      <c r="D10" s="22" cm="1">
        <f t="array" ref="D10">VLOOKUP(MeatT[[#This Row],[Meat (6-inch / Wrap)]:[Meat (6-inch / Wrap)]], 'Cleaned sheet 1'!$A$1:$K$46, 4, FALSE) - $D$44</f>
        <v>196.99999999999997</v>
      </c>
      <c r="E10" s="22" cm="1">
        <f t="array" ref="E10">VLOOKUP(MeatT[[#This Row],[Meat (6-inch / Wrap)]:[Meat (6-inch / Wrap)]], 'Cleaned sheet 1'!$A$1:$K$46, 5, FALSE) - $E$44</f>
        <v>12.299999999999999</v>
      </c>
      <c r="F10" s="22" cm="1">
        <f t="array" ref="F10">VLOOKUP(MeatT[[#This Row],[Meat (6-inch / Wrap)]:[Meat (6-inch / Wrap)]], 'Cleaned sheet 1'!$A$1:$K$46, 6, FALSE) - $F$44</f>
        <v>15.2</v>
      </c>
      <c r="G10" s="22" cm="1">
        <f t="array" ref="G10">VLOOKUP(MeatT[[#This Row],[Meat (6-inch / Wrap)]:[Meat (6-inch / Wrap)]], 'Cleaned sheet 1'!$A$1:$K$46, 7, FALSE) - $G$44</f>
        <v>6.8</v>
      </c>
      <c r="H10" s="22" cm="1">
        <f t="array" ref="H10">VLOOKUP(MeatT[[#This Row],[Meat (6-inch / Wrap)]:[Meat (6-inch / Wrap)]], 'Cleaned sheet 1'!$A$1:$K$46, 8, FALSE) - $H$44</f>
        <v>2.9999999999999929</v>
      </c>
      <c r="I10" s="22" cm="1">
        <f t="array" ref="I10">VLOOKUP(MeatT[[#This Row],[Meat (6-inch / Wrap)]:[Meat (6-inch / Wrap)]], 'Cleaned sheet 1'!$A$1:$K$46, 9, FALSE) - $I$44</f>
        <v>1.8999999999999995</v>
      </c>
      <c r="J10" s="22" cm="1">
        <f t="array" ref="J10">VLOOKUP(MeatT[[#This Row],[Meat (6-inch / Wrap)]:[Meat (6-inch / Wrap)]], 'Cleaned sheet 1'!$A$1:$K$46, 10, FALSE) - $J$44</f>
        <v>0.49999999999999956</v>
      </c>
      <c r="K10" s="22" cm="1">
        <f t="array" ref="K10">VLOOKUP(MeatT[[#This Row],[Meat (6-inch / Wrap)]:[Meat (6-inch / Wrap)]], 'Cleaned sheet 1'!$A$1:$K$46, 11, FALSE) - $K$44</f>
        <v>678.8</v>
      </c>
    </row>
    <row r="11" spans="1:11" ht="15.5" x14ac:dyDescent="0.3">
      <c r="A11" s="11" t="s">
        <v>130</v>
      </c>
      <c r="B11" s="22" cm="1">
        <f t="array" ref="B11">VLOOKUP(MeatT[[#This Row],[Meat (6-inch / Wrap)]:[Meat (6-inch / Wrap)]], 'Cleaned sheet 1'!$A$1:$K$46, 2, FALSE) - $B$44</f>
        <v>98</v>
      </c>
      <c r="C11" s="22" cm="1">
        <f t="array" ref="C11">VLOOKUP(MeatT[[#This Row],[Meat (6-inch / Wrap)]:[Meat (6-inch / Wrap)]], 'Cleaned sheet 1'!$A$1:$K$46, 3, FALSE) - $C$44</f>
        <v>1021.5000000000001</v>
      </c>
      <c r="D11" s="22" cm="1">
        <f t="array" ref="D11">VLOOKUP(MeatT[[#This Row],[Meat (6-inch / Wrap)]:[Meat (6-inch / Wrap)]], 'Cleaned sheet 1'!$A$1:$K$46, 4, FALSE) - $D$44</f>
        <v>242.99999999999997</v>
      </c>
      <c r="E11" s="22" cm="1">
        <f t="array" ref="E11">VLOOKUP(MeatT[[#This Row],[Meat (6-inch / Wrap)]:[Meat (6-inch / Wrap)]], 'Cleaned sheet 1'!$A$1:$K$46, 5, FALSE) - $E$44</f>
        <v>11.499999999999998</v>
      </c>
      <c r="F11" s="22" cm="1">
        <f t="array" ref="F11">VLOOKUP(MeatT[[#This Row],[Meat (6-inch / Wrap)]:[Meat (6-inch / Wrap)]], 'Cleaned sheet 1'!$A$1:$K$46, 6, FALSE) - $F$44</f>
        <v>17.8</v>
      </c>
      <c r="G11" s="22" cm="1">
        <f t="array" ref="G11">VLOOKUP(MeatT[[#This Row],[Meat (6-inch / Wrap)]:[Meat (6-inch / Wrap)]], 'Cleaned sheet 1'!$A$1:$K$46, 7, FALSE) - $G$44</f>
        <v>6.3</v>
      </c>
      <c r="H11" s="22" cm="1">
        <f t="array" ref="H11">VLOOKUP(MeatT[[#This Row],[Meat (6-inch / Wrap)]:[Meat (6-inch / Wrap)]], 'Cleaned sheet 1'!$A$1:$K$46, 8, FALSE) - $H$44</f>
        <v>9.8999999999999986</v>
      </c>
      <c r="I11" s="22" cm="1">
        <f t="array" ref="I11">VLOOKUP(MeatT[[#This Row],[Meat (6-inch / Wrap)]:[Meat (6-inch / Wrap)]], 'Cleaned sheet 1'!$A$1:$K$46, 9, FALSE) - $I$44</f>
        <v>5.8999999999999995</v>
      </c>
      <c r="J11" s="22" cm="1">
        <f t="array" ref="J11">VLOOKUP(MeatT[[#This Row],[Meat (6-inch / Wrap)]:[Meat (6-inch / Wrap)]], 'Cleaned sheet 1'!$A$1:$K$46, 10, FALSE) - $J$44</f>
        <v>1.0999999999999992</v>
      </c>
      <c r="K11" s="22" cm="1">
        <f t="array" ref="K11">VLOOKUP(MeatT[[#This Row],[Meat (6-inch / Wrap)]:[Meat (6-inch / Wrap)]], 'Cleaned sheet 1'!$A$1:$K$46, 11, FALSE) - $K$44</f>
        <v>771.8</v>
      </c>
    </row>
    <row r="12" spans="1:11" ht="15.5" x14ac:dyDescent="0.3">
      <c r="A12" s="11" t="s">
        <v>131</v>
      </c>
      <c r="B12" s="22" cm="1">
        <f t="array" ref="B12">VLOOKUP(MeatT[[#This Row],[Meat (6-inch / Wrap)]:[Meat (6-inch / Wrap)]], 'Cleaned sheet 1'!$A$1:$K$46, 2, FALSE) - $B$44</f>
        <v>48</v>
      </c>
      <c r="C12" s="22" cm="1">
        <f t="array" ref="C12">VLOOKUP(MeatT[[#This Row],[Meat (6-inch / Wrap)]:[Meat (6-inch / Wrap)]], 'Cleaned sheet 1'!$A$1:$K$46, 3, FALSE) - $C$44</f>
        <v>231.50000000000011</v>
      </c>
      <c r="D12" s="22" cm="1">
        <f t="array" ref="D12">VLOOKUP(MeatT[[#This Row],[Meat (6-inch / Wrap)]:[Meat (6-inch / Wrap)]], 'Cleaned sheet 1'!$A$1:$K$46, 4, FALSE) - $D$44</f>
        <v>54.999999999999972</v>
      </c>
      <c r="E12" s="22" cm="1">
        <f t="array" ref="E12">VLOOKUP(MeatT[[#This Row],[Meat (6-inch / Wrap)]:[Meat (6-inch / Wrap)]], 'Cleaned sheet 1'!$A$1:$K$46, 5, FALSE) - $E$44</f>
        <v>8.2000000000000011</v>
      </c>
      <c r="F12" s="22" cm="1">
        <f t="array" ref="F12">VLOOKUP(MeatT[[#This Row],[Meat (6-inch / Wrap)]:[Meat (6-inch / Wrap)]], 'Cleaned sheet 1'!$A$1:$K$46, 6, FALSE) - $F$44</f>
        <v>1.5999999999999996</v>
      </c>
      <c r="G12" s="22" cm="1">
        <f t="array" ref="G12">VLOOKUP(MeatT[[#This Row],[Meat (6-inch / Wrap)]:[Meat (6-inch / Wrap)]], 'Cleaned sheet 1'!$A$1:$K$46, 7, FALSE) - $G$44</f>
        <v>0.7</v>
      </c>
      <c r="H12" s="22" cm="1">
        <f t="array" ref="H12">VLOOKUP(MeatT[[#This Row],[Meat (6-inch / Wrap)]:[Meat (6-inch / Wrap)]], 'Cleaned sheet 1'!$A$1:$K$46, 8, FALSE) - $H$44</f>
        <v>1.3999999999999986</v>
      </c>
      <c r="I12" s="22" cm="1">
        <f t="array" ref="I12">VLOOKUP(MeatT[[#This Row],[Meat (6-inch / Wrap)]:[Meat (6-inch / Wrap)]], 'Cleaned sheet 1'!$A$1:$K$46, 9, FALSE) - $I$44</f>
        <v>1</v>
      </c>
      <c r="J12" s="22" cm="1">
        <f t="array" ref="J12">VLOOKUP(MeatT[[#This Row],[Meat (6-inch / Wrap)]:[Meat (6-inch / Wrap)]], 'Cleaned sheet 1'!$A$1:$K$46, 10, FALSE) - $J$44</f>
        <v>0</v>
      </c>
      <c r="K12" s="22" cm="1">
        <f t="array" ref="K12">VLOOKUP(MeatT[[#This Row],[Meat (6-inch / Wrap)]:[Meat (6-inch / Wrap)]], 'Cleaned sheet 1'!$A$1:$K$46, 11, FALSE) - $K$44</f>
        <v>260.79999999999995</v>
      </c>
    </row>
    <row r="13" spans="1:11" ht="15.5" x14ac:dyDescent="0.3">
      <c r="A13" s="11" t="s">
        <v>132</v>
      </c>
      <c r="B13" s="22" cm="1">
        <f t="array" ref="B13">VLOOKUP(MeatT[[#This Row],[Meat (6-inch / Wrap)]:[Meat (6-inch / Wrap)]], 'Cleaned sheet 1'!$A$1:$K$46, 2, FALSE) - $B$44</f>
        <v>75</v>
      </c>
      <c r="C13" s="22" cm="1">
        <f t="array" ref="C13">VLOOKUP(MeatT[[#This Row],[Meat (6-inch / Wrap)]:[Meat (6-inch / Wrap)]], 'Cleaned sheet 1'!$A$1:$K$46, 3, FALSE) - $C$44</f>
        <v>681.50000000000011</v>
      </c>
      <c r="D13" s="22" cm="1">
        <f t="array" ref="D13">VLOOKUP(MeatT[[#This Row],[Meat (6-inch / Wrap)]:[Meat (6-inch / Wrap)]], 'Cleaned sheet 1'!$A$1:$K$46, 4, FALSE) - $D$44</f>
        <v>162.99999999999997</v>
      </c>
      <c r="E13" s="22" cm="1">
        <f t="array" ref="E13">VLOOKUP(MeatT[[#This Row],[Meat (6-inch / Wrap)]:[Meat (6-inch / Wrap)]], 'Cleaned sheet 1'!$A$1:$K$46, 5, FALSE) - $E$44</f>
        <v>6.6</v>
      </c>
      <c r="F13" s="22" cm="1">
        <f t="array" ref="F13">VLOOKUP(MeatT[[#This Row],[Meat (6-inch / Wrap)]:[Meat (6-inch / Wrap)]], 'Cleaned sheet 1'!$A$1:$K$46, 6, FALSE) - $F$44</f>
        <v>5.9999999999999991</v>
      </c>
      <c r="G13" s="22" cm="1">
        <f t="array" ref="G13">VLOOKUP(MeatT[[#This Row],[Meat (6-inch / Wrap)]:[Meat (6-inch / Wrap)]], 'Cleaned sheet 1'!$A$1:$K$46, 7, FALSE) - $G$44</f>
        <v>1</v>
      </c>
      <c r="H13" s="22" cm="1">
        <f t="array" ref="H13">VLOOKUP(MeatT[[#This Row],[Meat (6-inch / Wrap)]:[Meat (6-inch / Wrap)]], 'Cleaned sheet 1'!$A$1:$K$46, 8, FALSE) - $H$44</f>
        <v>17.699999999999996</v>
      </c>
      <c r="I13" s="22" cm="1">
        <f t="array" ref="I13">VLOOKUP(MeatT[[#This Row],[Meat (6-inch / Wrap)]:[Meat (6-inch / Wrap)]], 'Cleaned sheet 1'!$A$1:$K$46, 9, FALSE) - $I$44</f>
        <v>3.8999999999999995</v>
      </c>
      <c r="J13" s="22" cm="1">
        <f t="array" ref="J13">VLOOKUP(MeatT[[#This Row],[Meat (6-inch / Wrap)]:[Meat (6-inch / Wrap)]], 'Cleaned sheet 1'!$A$1:$K$46, 10, FALSE) - $J$44</f>
        <v>3.1999999999999997</v>
      </c>
      <c r="K13" s="22" cm="1">
        <f t="array" ref="K13">VLOOKUP(MeatT[[#This Row],[Meat (6-inch / Wrap)]:[Meat (6-inch / Wrap)]], 'Cleaned sheet 1'!$A$1:$K$46, 11, FALSE) - $K$44</f>
        <v>661.8</v>
      </c>
    </row>
    <row r="14" spans="1:11" ht="15.5" x14ac:dyDescent="0.3">
      <c r="A14" s="11" t="s">
        <v>133</v>
      </c>
      <c r="B14" s="22" cm="1">
        <f t="array" ref="B14">VLOOKUP(MeatT[[#This Row],[Meat (6-inch / Wrap)]:[Meat (6-inch / Wrap)]], 'Cleaned sheet 1'!$A$1:$K$46, 2, FALSE) - $B$44</f>
        <v>78</v>
      </c>
      <c r="C14" s="22" cm="1">
        <f t="array" ref="C14">VLOOKUP(MeatT[[#This Row],[Meat (6-inch / Wrap)]:[Meat (6-inch / Wrap)]], 'Cleaned sheet 1'!$A$1:$K$46, 3, FALSE) - $C$44</f>
        <v>601.50000000000011</v>
      </c>
      <c r="D14" s="22" cm="1">
        <f t="array" ref="D14">VLOOKUP(MeatT[[#This Row],[Meat (6-inch / Wrap)]:[Meat (6-inch / Wrap)]], 'Cleaned sheet 1'!$A$1:$K$46, 4, FALSE) - $D$44</f>
        <v>144.99999999999997</v>
      </c>
      <c r="E14" s="22" cm="1">
        <f t="array" ref="E14">VLOOKUP(MeatT[[#This Row],[Meat (6-inch / Wrap)]:[Meat (6-inch / Wrap)]], 'Cleaned sheet 1'!$A$1:$K$46, 5, FALSE) - $E$44</f>
        <v>18.200000000000003</v>
      </c>
      <c r="F14" s="22" cm="1">
        <f t="array" ref="F14">VLOOKUP(MeatT[[#This Row],[Meat (6-inch / Wrap)]:[Meat (6-inch / Wrap)]], 'Cleaned sheet 1'!$A$1:$K$46, 6, FALSE) - $F$44</f>
        <v>7.3999999999999995</v>
      </c>
      <c r="G14" s="22" cm="1">
        <f t="array" ref="G14">VLOOKUP(MeatT[[#This Row],[Meat (6-inch / Wrap)]:[Meat (6-inch / Wrap)]], 'Cleaned sheet 1'!$A$1:$K$46, 7, FALSE) - $G$44</f>
        <v>4.1000000000000005</v>
      </c>
      <c r="H14" s="22" cm="1">
        <f t="array" ref="H14">VLOOKUP(MeatT[[#This Row],[Meat (6-inch / Wrap)]:[Meat (6-inch / Wrap)]], 'Cleaned sheet 1'!$A$1:$K$46, 8, FALSE) - $H$44</f>
        <v>0.79999999999999716</v>
      </c>
      <c r="I14" s="22" cm="1">
        <f t="array" ref="I14">VLOOKUP(MeatT[[#This Row],[Meat (6-inch / Wrap)]:[Meat (6-inch / Wrap)]], 'Cleaned sheet 1'!$A$1:$K$46, 9, FALSE) - $I$44</f>
        <v>0.59999999999999964</v>
      </c>
      <c r="J14" s="22" cm="1">
        <f t="array" ref="J14">VLOOKUP(MeatT[[#This Row],[Meat (6-inch / Wrap)]:[Meat (6-inch / Wrap)]], 'Cleaned sheet 1'!$A$1:$K$46, 10, FALSE) - $J$44</f>
        <v>0</v>
      </c>
      <c r="K14" s="22" cm="1">
        <f t="array" ref="K14">VLOOKUP(MeatT[[#This Row],[Meat (6-inch / Wrap)]:[Meat (6-inch / Wrap)]], 'Cleaned sheet 1'!$A$1:$K$46, 11, FALSE) - $K$44</f>
        <v>426.79999999999995</v>
      </c>
    </row>
    <row r="15" spans="1:11" ht="15.5" x14ac:dyDescent="0.3">
      <c r="A15" s="11" t="s">
        <v>134</v>
      </c>
      <c r="B15" s="22" cm="1">
        <f t="array" ref="B15">VLOOKUP(MeatT[[#This Row],[Meat (6-inch / Wrap)]:[Meat (6-inch / Wrap)]], 'Cleaned sheet 1'!$A$1:$K$46, 2, FALSE) - $B$44</f>
        <v>105</v>
      </c>
      <c r="C15" s="22" cm="1">
        <f t="array" ref="C15">VLOOKUP(MeatT[[#This Row],[Meat (6-inch / Wrap)]:[Meat (6-inch / Wrap)]], 'Cleaned sheet 1'!$A$1:$K$46, 3, FALSE) - $C$44</f>
        <v>901.50000000000011</v>
      </c>
      <c r="D15" s="22" cm="1">
        <f t="array" ref="D15">VLOOKUP(MeatT[[#This Row],[Meat (6-inch / Wrap)]:[Meat (6-inch / Wrap)]], 'Cleaned sheet 1'!$A$1:$K$46, 4, FALSE) - $D$44</f>
        <v>214.99999999999997</v>
      </c>
      <c r="E15" s="22" cm="1">
        <f t="array" ref="E15">VLOOKUP(MeatT[[#This Row],[Meat (6-inch / Wrap)]:[Meat (6-inch / Wrap)]], 'Cleaned sheet 1'!$A$1:$K$46, 5, FALSE) - $E$44</f>
        <v>20.799999999999997</v>
      </c>
      <c r="F15" s="22" cm="1">
        <f t="array" ref="F15">VLOOKUP(MeatT[[#This Row],[Meat (6-inch / Wrap)]:[Meat (6-inch / Wrap)]], 'Cleaned sheet 1'!$A$1:$K$46, 6, FALSE) - $F$44</f>
        <v>11.899999999999999</v>
      </c>
      <c r="G15" s="22" cm="1">
        <f t="array" ref="G15">VLOOKUP(MeatT[[#This Row],[Meat (6-inch / Wrap)]:[Meat (6-inch / Wrap)]], 'Cleaned sheet 1'!$A$1:$K$46, 7, FALSE) - $G$44</f>
        <v>2.1</v>
      </c>
      <c r="H15" s="22" cm="1">
        <f t="array" ref="H15">VLOOKUP(MeatT[[#This Row],[Meat (6-inch / Wrap)]:[Meat (6-inch / Wrap)]], 'Cleaned sheet 1'!$A$1:$K$46, 8, FALSE) - $H$44</f>
        <v>9.5999999999999943</v>
      </c>
      <c r="I15" s="22" cm="1">
        <f t="array" ref="I15">VLOOKUP(MeatT[[#This Row],[Meat (6-inch / Wrap)]:[Meat (6-inch / Wrap)]], 'Cleaned sheet 1'!$A$1:$K$46, 9, FALSE) - $I$44</f>
        <v>0.79999999999999982</v>
      </c>
      <c r="J15" s="22" cm="1">
        <f t="array" ref="J15">VLOOKUP(MeatT[[#This Row],[Meat (6-inch / Wrap)]:[Meat (6-inch / Wrap)]], 'Cleaned sheet 1'!$A$1:$K$46, 10, FALSE) - $J$44</f>
        <v>0</v>
      </c>
      <c r="K15" s="22" cm="1">
        <f t="array" ref="K15">VLOOKUP(MeatT[[#This Row],[Meat (6-inch / Wrap)]:[Meat (6-inch / Wrap)]], 'Cleaned sheet 1'!$A$1:$K$46, 11, FALSE) - $K$44</f>
        <v>608.79999999999995</v>
      </c>
    </row>
    <row r="16" spans="1:11" ht="15.5" x14ac:dyDescent="0.3">
      <c r="A16" s="11" t="s">
        <v>135</v>
      </c>
      <c r="B16" s="22" cm="1">
        <f t="array" ref="B16">VLOOKUP(MeatT[[#This Row],[Meat (6-inch / Wrap)]:[Meat (6-inch / Wrap)]], 'Cleaned sheet 1'!$A$1:$K$46, 2, FALSE) - $B$44</f>
        <v>64</v>
      </c>
      <c r="C16" s="22" cm="1">
        <f t="array" ref="C16">VLOOKUP(MeatT[[#This Row],[Meat (6-inch / Wrap)]:[Meat (6-inch / Wrap)]], 'Cleaned sheet 1'!$A$1:$K$46, 3, FALSE) - $C$44</f>
        <v>311.50000000000011</v>
      </c>
      <c r="D16" s="22" cm="1">
        <f t="array" ref="D16">VLOOKUP(MeatT[[#This Row],[Meat (6-inch / Wrap)]:[Meat (6-inch / Wrap)]], 'Cleaned sheet 1'!$A$1:$K$46, 4, FALSE) - $D$44</f>
        <v>75.999999999999972</v>
      </c>
      <c r="E16" s="22" cm="1">
        <f t="array" ref="E16">VLOOKUP(MeatT[[#This Row],[Meat (6-inch / Wrap)]:[Meat (6-inch / Wrap)]], 'Cleaned sheet 1'!$A$1:$K$46, 5, FALSE) - $E$44</f>
        <v>10.200000000000001</v>
      </c>
      <c r="F16" s="22" cm="1">
        <f t="array" ref="F16">VLOOKUP(MeatT[[#This Row],[Meat (6-inch / Wrap)]:[Meat (6-inch / Wrap)]], 'Cleaned sheet 1'!$A$1:$K$46, 6, FALSE) - $F$44</f>
        <v>2.2999999999999998</v>
      </c>
      <c r="G16" s="22" cm="1">
        <f t="array" ref="G16">VLOOKUP(MeatT[[#This Row],[Meat (6-inch / Wrap)]:[Meat (6-inch / Wrap)]], 'Cleaned sheet 1'!$A$1:$K$46, 7, FALSE) - $G$44</f>
        <v>0.5</v>
      </c>
      <c r="H16" s="22" cm="1">
        <f t="array" ref="H16">VLOOKUP(MeatT[[#This Row],[Meat (6-inch / Wrap)]:[Meat (6-inch / Wrap)]], 'Cleaned sheet 1'!$A$1:$K$46, 8, FALSE) - $H$44</f>
        <v>3.7999999999999972</v>
      </c>
      <c r="I16" s="22" cm="1">
        <f t="array" ref="I16">VLOOKUP(MeatT[[#This Row],[Meat (6-inch / Wrap)]:[Meat (6-inch / Wrap)]], 'Cleaned sheet 1'!$A$1:$K$46, 9, FALSE) - $I$44</f>
        <v>2.5</v>
      </c>
      <c r="J16" s="22" cm="1">
        <f t="array" ref="J16">VLOOKUP(MeatT[[#This Row],[Meat (6-inch / Wrap)]:[Meat (6-inch / Wrap)]], 'Cleaned sheet 1'!$A$1:$K$46, 10, FALSE) - $J$44</f>
        <v>0</v>
      </c>
      <c r="K16" s="22" cm="1">
        <f t="array" ref="K16">VLOOKUP(MeatT[[#This Row],[Meat (6-inch / Wrap)]:[Meat (6-inch / Wrap)]], 'Cleaned sheet 1'!$A$1:$K$46, 11, FALSE) - $K$44</f>
        <v>270.79999999999995</v>
      </c>
    </row>
    <row r="17" spans="1:11" ht="15.5" x14ac:dyDescent="0.3">
      <c r="A17" s="11" t="s">
        <v>136</v>
      </c>
      <c r="B17" s="22" cm="1">
        <f t="array" ref="B17">VLOOKUP(MeatT[[#This Row],[Meat (6-inch / Wrap)]:[Meat (6-inch / Wrap)]], 'Cleaned sheet 1'!$A$1:$K$46, 2, FALSE) - $B$44</f>
        <v>54</v>
      </c>
      <c r="C17" s="22" cm="1">
        <f t="array" ref="C17">VLOOKUP(MeatT[[#This Row],[Meat (6-inch / Wrap)]:[Meat (6-inch / Wrap)]], 'Cleaned sheet 1'!$A$1:$K$46, 3, FALSE) - $C$44</f>
        <v>241.50000000000011</v>
      </c>
      <c r="D17" s="22" cm="1">
        <f t="array" ref="D17">VLOOKUP(MeatT[[#This Row],[Meat (6-inch / Wrap)]:[Meat (6-inch / Wrap)]], 'Cleaned sheet 1'!$A$1:$K$46, 4, FALSE) - $D$44</f>
        <v>57.999999999999972</v>
      </c>
      <c r="E17" s="22" cm="1">
        <f t="array" ref="E17">VLOOKUP(MeatT[[#This Row],[Meat (6-inch / Wrap)]:[Meat (6-inch / Wrap)]], 'Cleaned sheet 1'!$A$1:$K$46, 5, FALSE) - $E$44</f>
        <v>11.4</v>
      </c>
      <c r="F17" s="22" cm="1">
        <f t="array" ref="F17">VLOOKUP(MeatT[[#This Row],[Meat (6-inch / Wrap)]:[Meat (6-inch / Wrap)]], 'Cleaned sheet 1'!$A$1:$K$46, 6, FALSE) - $F$44</f>
        <v>0.59999999999999964</v>
      </c>
      <c r="G17" s="22" cm="1">
        <f t="array" ref="G17">VLOOKUP(MeatT[[#This Row],[Meat (6-inch / Wrap)]:[Meat (6-inch / Wrap)]], 'Cleaned sheet 1'!$A$1:$K$46, 7, FALSE) - $G$44</f>
        <v>0.5</v>
      </c>
      <c r="H17" s="22" cm="1">
        <f t="array" ref="H17">VLOOKUP(MeatT[[#This Row],[Meat (6-inch / Wrap)]:[Meat (6-inch / Wrap)]], 'Cleaned sheet 1'!$A$1:$K$46, 8, FALSE) - $H$44</f>
        <v>1.5999999999999943</v>
      </c>
      <c r="I17" s="22" cm="1">
        <f t="array" ref="I17">VLOOKUP(MeatT[[#This Row],[Meat (6-inch / Wrap)]:[Meat (6-inch / Wrap)]], 'Cleaned sheet 1'!$A$1:$K$46, 9, FALSE) - $I$44</f>
        <v>0.5</v>
      </c>
      <c r="J17" s="22" cm="1">
        <f t="array" ref="J17">VLOOKUP(MeatT[[#This Row],[Meat (6-inch / Wrap)]:[Meat (6-inch / Wrap)]], 'Cleaned sheet 1'!$A$1:$K$46, 10, FALSE) - $J$44</f>
        <v>0</v>
      </c>
      <c r="K17" s="22" cm="1">
        <f t="array" ref="K17">VLOOKUP(MeatT[[#This Row],[Meat (6-inch / Wrap)]:[Meat (6-inch / Wrap)]], 'Cleaned sheet 1'!$A$1:$K$46, 11, FALSE) - $K$44</f>
        <v>357.79999999999995</v>
      </c>
    </row>
    <row r="18" spans="1:11" ht="15.5" x14ac:dyDescent="0.3">
      <c r="A18" s="11" t="s">
        <v>137</v>
      </c>
      <c r="B18" s="22" cm="1">
        <f t="array" ref="B18">VLOOKUP(MeatT[[#This Row],[Meat (6-inch / Wrap)]:[Meat (6-inch / Wrap)]], 'Cleaned sheet 1'!$A$1:$K$46, 2, FALSE) - $B$44</f>
        <v>35</v>
      </c>
      <c r="C18" s="22" cm="1">
        <f t="array" ref="C18">VLOOKUP(MeatT[[#This Row],[Meat (6-inch / Wrap)]:[Meat (6-inch / Wrap)]], 'Cleaned sheet 1'!$A$1:$K$46, 3, FALSE) - $C$44</f>
        <v>241.50000000000011</v>
      </c>
      <c r="D18" s="22" cm="1">
        <f t="array" ref="D18">VLOOKUP(MeatT[[#This Row],[Meat (6-inch / Wrap)]:[Meat (6-inch / Wrap)]], 'Cleaned sheet 1'!$A$1:$K$46, 4, FALSE) - $D$44</f>
        <v>58.999999999999972</v>
      </c>
      <c r="E18" s="22" cm="1">
        <f t="array" ref="E18">VLOOKUP(MeatT[[#This Row],[Meat (6-inch / Wrap)]:[Meat (6-inch / Wrap)]], 'Cleaned sheet 1'!$A$1:$K$46, 5, FALSE) - $E$44</f>
        <v>1.0999999999999996</v>
      </c>
      <c r="F18" s="22" cm="1">
        <f t="array" ref="F18">VLOOKUP(MeatT[[#This Row],[Meat (6-inch / Wrap)]:[Meat (6-inch / Wrap)]], 'Cleaned sheet 1'!$A$1:$K$46, 6, FALSE) - $F$44</f>
        <v>5.3999999999999995</v>
      </c>
      <c r="G18" s="22" cm="1">
        <f t="array" ref="G18">VLOOKUP(MeatT[[#This Row],[Meat (6-inch / Wrap)]:[Meat (6-inch / Wrap)]], 'Cleaned sheet 1'!$A$1:$K$46, 7, FALSE) - $G$44</f>
        <v>0.7</v>
      </c>
      <c r="H18" s="22" cm="1">
        <f t="array" ref="H18">VLOOKUP(MeatT[[#This Row],[Meat (6-inch / Wrap)]:[Meat (6-inch / Wrap)]], 'Cleaned sheet 1'!$A$1:$K$46, 8, FALSE) - $H$44</f>
        <v>3.5999999999999943</v>
      </c>
      <c r="I18" s="22" cm="1">
        <f t="array" ref="I18">VLOOKUP(MeatT[[#This Row],[Meat (6-inch / Wrap)]:[Meat (6-inch / Wrap)]], 'Cleaned sheet 1'!$A$1:$K$46, 9, FALSE) - $I$44</f>
        <v>0</v>
      </c>
      <c r="J18" s="22" cm="1">
        <f t="array" ref="J18">VLOOKUP(MeatT[[#This Row],[Meat (6-inch / Wrap)]:[Meat (6-inch / Wrap)]], 'Cleaned sheet 1'!$A$1:$K$46, 10, FALSE) - $J$44</f>
        <v>0</v>
      </c>
      <c r="K18" s="22" cm="1">
        <f t="array" ref="K18">VLOOKUP(MeatT[[#This Row],[Meat (6-inch / Wrap)]:[Meat (6-inch / Wrap)]], 'Cleaned sheet 1'!$A$1:$K$46, 11, FALSE) - $K$44</f>
        <v>-0.20000000000001705</v>
      </c>
    </row>
    <row r="19" spans="1:11" ht="15.5" x14ac:dyDescent="0.3">
      <c r="A19" s="11" t="s">
        <v>138</v>
      </c>
      <c r="B19" s="22" cm="1">
        <f t="array" ref="B19">VLOOKUP(MeatT[[#This Row],[Meat (6-inch / Wrap)]:[Meat (6-inch / Wrap)]], 'Cleaned sheet 1'!$A$1:$K$46, 2, FALSE) - $B$44</f>
        <v>90</v>
      </c>
      <c r="C19" s="22" cm="1">
        <f t="array" ref="C19">VLOOKUP(MeatT[[#This Row],[Meat (6-inch / Wrap)]:[Meat (6-inch / Wrap)]], 'Cleaned sheet 1'!$A$1:$K$46, 3, FALSE) - $C$44</f>
        <v>801.50000000000011</v>
      </c>
      <c r="D19" s="22" cm="1">
        <f t="array" ref="D19">VLOOKUP(MeatT[[#This Row],[Meat (6-inch / Wrap)]:[Meat (6-inch / Wrap)]], 'Cleaned sheet 1'!$A$1:$K$46, 4, FALSE) - $D$44</f>
        <v>191.99999999999997</v>
      </c>
      <c r="E19" s="22" cm="1">
        <f t="array" ref="E19">VLOOKUP(MeatT[[#This Row],[Meat (6-inch / Wrap)]:[Meat (6-inch / Wrap)]], 'Cleaned sheet 1'!$A$1:$K$46, 5, FALSE) - $E$44</f>
        <v>7.6</v>
      </c>
      <c r="F19" s="22" cm="1">
        <f t="array" ref="F19">VLOOKUP(MeatT[[#This Row],[Meat (6-inch / Wrap)]:[Meat (6-inch / Wrap)]], 'Cleaned sheet 1'!$A$1:$K$46, 6, FALSE) - $F$44</f>
        <v>9.5</v>
      </c>
      <c r="G19" s="22" cm="1">
        <f t="array" ref="G19">VLOOKUP(MeatT[[#This Row],[Meat (6-inch / Wrap)]:[Meat (6-inch / Wrap)]], 'Cleaned sheet 1'!$A$1:$K$46, 7, FALSE) - $G$44</f>
        <v>1.9000000000000001</v>
      </c>
      <c r="H19" s="22" cm="1">
        <f t="array" ref="H19">VLOOKUP(MeatT[[#This Row],[Meat (6-inch / Wrap)]:[Meat (6-inch / Wrap)]], 'Cleaned sheet 1'!$A$1:$K$46, 8, FALSE) - $H$44</f>
        <v>16.599999999999994</v>
      </c>
      <c r="I19" s="22" cm="1">
        <f t="array" ref="I19">VLOOKUP(MeatT[[#This Row],[Meat (6-inch / Wrap)]:[Meat (6-inch / Wrap)]], 'Cleaned sheet 1'!$A$1:$K$46, 9, FALSE) - $I$44</f>
        <v>2.5999999999999996</v>
      </c>
      <c r="J19" s="22" cm="1">
        <f t="array" ref="J19">VLOOKUP(MeatT[[#This Row],[Meat (6-inch / Wrap)]:[Meat (6-inch / Wrap)]], 'Cleaned sheet 1'!$A$1:$K$46, 10, FALSE) - $J$44</f>
        <v>6.1999999999999993</v>
      </c>
      <c r="K19" s="22" cm="1">
        <f t="array" ref="K19">VLOOKUP(MeatT[[#This Row],[Meat (6-inch / Wrap)]:[Meat (6-inch / Wrap)]], 'Cleaned sheet 1'!$A$1:$K$46, 11, FALSE) - $K$44</f>
        <v>323.79999999999995</v>
      </c>
    </row>
    <row r="20" spans="1:11" ht="15.5" x14ac:dyDescent="0.3">
      <c r="A20" s="11" t="s">
        <v>127</v>
      </c>
      <c r="B20" s="22" cm="1">
        <f t="array" ref="B20">VLOOKUP(MeatT[[#This Row],[Meat (6-inch / Wrap)]:[Meat (6-inch / Wrap)]], 'Cleaned sheet 1'!$A$1:$K$46, 2, FALSE) - $B$44</f>
        <v>40</v>
      </c>
      <c r="C20" s="22" cm="1">
        <f t="array" ref="C20">VLOOKUP(MeatT[[#This Row],[Meat (6-inch / Wrap)]:[Meat (6-inch / Wrap)]], 'Cleaned sheet 1'!$A$1:$K$46, 3, FALSE) - $C$44</f>
        <v>171.50000000000011</v>
      </c>
      <c r="D20" s="22" cm="1">
        <f t="array" ref="D20">VLOOKUP(MeatT[[#This Row],[Meat (6-inch / Wrap)]:[Meat (6-inch / Wrap)]], 'Cleaned sheet 1'!$A$1:$K$46, 4, FALSE) - $D$44</f>
        <v>39.999999999999972</v>
      </c>
      <c r="E20" s="22" cm="1">
        <f t="array" ref="E20">VLOOKUP(MeatT[[#This Row],[Meat (6-inch / Wrap)]:[Meat (6-inch / Wrap)]], 'Cleaned sheet 1'!$A$1:$K$46, 5, FALSE) - $E$44</f>
        <v>7</v>
      </c>
      <c r="F20" s="22" cm="1">
        <f t="array" ref="F20">VLOOKUP(MeatT[[#This Row],[Meat (6-inch / Wrap)]:[Meat (6-inch / Wrap)]], 'Cleaned sheet 1'!$A$1:$K$46, 6, FALSE) - $F$44</f>
        <v>1.2999999999999998</v>
      </c>
      <c r="G20" s="22" cm="1">
        <f t="array" ref="G20">VLOOKUP(MeatT[[#This Row],[Meat (6-inch / Wrap)]:[Meat (6-inch / Wrap)]], 'Cleaned sheet 1'!$A$1:$K$46, 7, FALSE) - $G$44</f>
        <v>0.5</v>
      </c>
      <c r="H20" s="22" cm="1">
        <f t="array" ref="H20">VLOOKUP(MeatT[[#This Row],[Meat (6-inch / Wrap)]:[Meat (6-inch / Wrap)]], 'Cleaned sheet 1'!$A$1:$K$46, 8, FALSE) - $H$44</f>
        <v>0.69999999999999574</v>
      </c>
      <c r="I20" s="22" cm="1">
        <f t="array" ref="I20">VLOOKUP(MeatT[[#This Row],[Meat (6-inch / Wrap)]:[Meat (6-inch / Wrap)]], 'Cleaned sheet 1'!$A$1:$K$46, 9, FALSE) - $I$44</f>
        <v>0.59999999999999964</v>
      </c>
      <c r="J20" s="22" cm="1">
        <f t="array" ref="J20">VLOOKUP(MeatT[[#This Row],[Meat (6-inch / Wrap)]:[Meat (6-inch / Wrap)]], 'Cleaned sheet 1'!$A$1:$K$46, 10, FALSE) - $J$44</f>
        <v>0</v>
      </c>
      <c r="K20" s="22" cm="1">
        <f t="array" ref="K20">VLOOKUP(MeatT[[#This Row],[Meat (6-inch / Wrap)]:[Meat (6-inch / Wrap)]], 'Cleaned sheet 1'!$A$1:$K$46, 11, FALSE) - $K$44</f>
        <v>439.79999999999995</v>
      </c>
    </row>
    <row r="21" spans="1:11" ht="15.5" x14ac:dyDescent="0.3">
      <c r="A21" s="11" t="s">
        <v>131</v>
      </c>
      <c r="B21" s="22" cm="1">
        <f t="array" ref="B21">VLOOKUP(MeatT[[#This Row],[Meat (6-inch / Wrap)]:[Meat (6-inch / Wrap)]], 'Cleaned sheet 1'!$A$1:$K$46, 2, FALSE) - $B$44</f>
        <v>48</v>
      </c>
      <c r="C21" s="22" cm="1">
        <f t="array" ref="C21">VLOOKUP(MeatT[[#This Row],[Meat (6-inch / Wrap)]:[Meat (6-inch / Wrap)]], 'Cleaned sheet 1'!$A$1:$K$46, 3, FALSE) - $C$44</f>
        <v>231.50000000000011</v>
      </c>
      <c r="D21" s="22" cm="1">
        <f t="array" ref="D21">VLOOKUP(MeatT[[#This Row],[Meat (6-inch / Wrap)]:[Meat (6-inch / Wrap)]], 'Cleaned sheet 1'!$A$1:$K$46, 4, FALSE) - $D$44</f>
        <v>54.999999999999972</v>
      </c>
      <c r="E21" s="22" cm="1">
        <f t="array" ref="E21">VLOOKUP(MeatT[[#This Row],[Meat (6-inch / Wrap)]:[Meat (6-inch / Wrap)]], 'Cleaned sheet 1'!$A$1:$K$46, 5, FALSE) - $E$44</f>
        <v>8.2000000000000011</v>
      </c>
      <c r="F21" s="22" cm="1">
        <f t="array" ref="F21">VLOOKUP(MeatT[[#This Row],[Meat (6-inch / Wrap)]:[Meat (6-inch / Wrap)]], 'Cleaned sheet 1'!$A$1:$K$46, 6, FALSE) - $F$44</f>
        <v>1.5999999999999996</v>
      </c>
      <c r="G21" s="22" cm="1">
        <f t="array" ref="G21">VLOOKUP(MeatT[[#This Row],[Meat (6-inch / Wrap)]:[Meat (6-inch / Wrap)]], 'Cleaned sheet 1'!$A$1:$K$46, 7, FALSE) - $G$44</f>
        <v>0.7</v>
      </c>
      <c r="H21" s="22" cm="1">
        <f t="array" ref="H21">VLOOKUP(MeatT[[#This Row],[Meat (6-inch / Wrap)]:[Meat (6-inch / Wrap)]], 'Cleaned sheet 1'!$A$1:$K$46, 8, FALSE) - $H$44</f>
        <v>1.3999999999999986</v>
      </c>
      <c r="I21" s="22" cm="1">
        <f t="array" ref="I21">VLOOKUP(MeatT[[#This Row],[Meat (6-inch / Wrap)]:[Meat (6-inch / Wrap)]], 'Cleaned sheet 1'!$A$1:$K$46, 9, FALSE) - $I$44</f>
        <v>1</v>
      </c>
      <c r="J21" s="22" cm="1">
        <f t="array" ref="J21">VLOOKUP(MeatT[[#This Row],[Meat (6-inch / Wrap)]:[Meat (6-inch / Wrap)]], 'Cleaned sheet 1'!$A$1:$K$46, 10, FALSE) - $J$44</f>
        <v>0</v>
      </c>
      <c r="K21" s="22" cm="1">
        <f t="array" ref="K21">VLOOKUP(MeatT[[#This Row],[Meat (6-inch / Wrap)]:[Meat (6-inch / Wrap)]], 'Cleaned sheet 1'!$A$1:$K$46, 11, FALSE) - $K$44</f>
        <v>260.79999999999995</v>
      </c>
    </row>
    <row r="22" spans="1:11" ht="15.5" x14ac:dyDescent="0.3">
      <c r="A22" s="11" t="s">
        <v>136</v>
      </c>
      <c r="B22" s="22" cm="1">
        <f t="array" ref="B22">VLOOKUP(MeatT[[#This Row],[Meat (6-inch / Wrap)]:[Meat (6-inch / Wrap)]], 'Cleaned sheet 1'!$A$1:$K$46, 2, FALSE) - $B$44</f>
        <v>54</v>
      </c>
      <c r="C22" s="22" cm="1">
        <f t="array" ref="C22">VLOOKUP(MeatT[[#This Row],[Meat (6-inch / Wrap)]:[Meat (6-inch / Wrap)]], 'Cleaned sheet 1'!$A$1:$K$46, 3, FALSE) - $C$44</f>
        <v>241.50000000000011</v>
      </c>
      <c r="D22" s="22" cm="1">
        <f t="array" ref="D22">VLOOKUP(MeatT[[#This Row],[Meat (6-inch / Wrap)]:[Meat (6-inch / Wrap)]], 'Cleaned sheet 1'!$A$1:$K$46, 4, FALSE) - $D$44</f>
        <v>57.999999999999972</v>
      </c>
      <c r="E22" s="22" cm="1">
        <f t="array" ref="E22">VLOOKUP(MeatT[[#This Row],[Meat (6-inch / Wrap)]:[Meat (6-inch / Wrap)]], 'Cleaned sheet 1'!$A$1:$K$46, 5, FALSE) - $E$44</f>
        <v>11.4</v>
      </c>
      <c r="F22" s="22" cm="1">
        <f t="array" ref="F22">VLOOKUP(MeatT[[#This Row],[Meat (6-inch / Wrap)]:[Meat (6-inch / Wrap)]], 'Cleaned sheet 1'!$A$1:$K$46, 6, FALSE) - $F$44</f>
        <v>0.59999999999999964</v>
      </c>
      <c r="G22" s="22" cm="1">
        <f t="array" ref="G22">VLOOKUP(MeatT[[#This Row],[Meat (6-inch / Wrap)]:[Meat (6-inch / Wrap)]], 'Cleaned sheet 1'!$A$1:$K$46, 7, FALSE) - $G$44</f>
        <v>0.5</v>
      </c>
      <c r="H22" s="22" cm="1">
        <f t="array" ref="H22">VLOOKUP(MeatT[[#This Row],[Meat (6-inch / Wrap)]:[Meat (6-inch / Wrap)]], 'Cleaned sheet 1'!$A$1:$K$46, 8, FALSE) - $H$44</f>
        <v>1.5999999999999943</v>
      </c>
      <c r="I22" s="22" cm="1">
        <f t="array" ref="I22">VLOOKUP(MeatT[[#This Row],[Meat (6-inch / Wrap)]:[Meat (6-inch / Wrap)]], 'Cleaned sheet 1'!$A$1:$K$46, 9, FALSE) - $I$44</f>
        <v>0.5</v>
      </c>
      <c r="J22" s="22" cm="1">
        <f t="array" ref="J22">VLOOKUP(MeatT[[#This Row],[Meat (6-inch / Wrap)]:[Meat (6-inch / Wrap)]], 'Cleaned sheet 1'!$A$1:$K$46, 10, FALSE) - $J$44</f>
        <v>0</v>
      </c>
      <c r="K22" s="22" cm="1">
        <f t="array" ref="K22">VLOOKUP(MeatT[[#This Row],[Meat (6-inch / Wrap)]:[Meat (6-inch / Wrap)]], 'Cleaned sheet 1'!$A$1:$K$46, 11, FALSE) - $K$44</f>
        <v>357.79999999999995</v>
      </c>
    </row>
    <row r="23" spans="1:11" ht="15.5" x14ac:dyDescent="0.3">
      <c r="A23" s="11" t="s">
        <v>137</v>
      </c>
      <c r="B23" s="22" cm="1">
        <f t="array" ref="B23">VLOOKUP(MeatT[[#This Row],[Meat (6-inch / Wrap)]:[Meat (6-inch / Wrap)]], 'Cleaned sheet 1'!$A$1:$K$46, 2, FALSE) - $B$44</f>
        <v>35</v>
      </c>
      <c r="C23" s="22" cm="1">
        <f t="array" ref="C23">VLOOKUP(MeatT[[#This Row],[Meat (6-inch / Wrap)]:[Meat (6-inch / Wrap)]], 'Cleaned sheet 1'!$A$1:$K$46, 3, FALSE) - $C$44</f>
        <v>241.50000000000011</v>
      </c>
      <c r="D23" s="22" cm="1">
        <f t="array" ref="D23">VLOOKUP(MeatT[[#This Row],[Meat (6-inch / Wrap)]:[Meat (6-inch / Wrap)]], 'Cleaned sheet 1'!$A$1:$K$46, 4, FALSE) - $D$44</f>
        <v>58.999999999999972</v>
      </c>
      <c r="E23" s="22" cm="1">
        <f t="array" ref="E23">VLOOKUP(MeatT[[#This Row],[Meat (6-inch / Wrap)]:[Meat (6-inch / Wrap)]], 'Cleaned sheet 1'!$A$1:$K$46, 5, FALSE) - $E$44</f>
        <v>1.0999999999999996</v>
      </c>
      <c r="F23" s="22" cm="1">
        <f t="array" ref="F23">VLOOKUP(MeatT[[#This Row],[Meat (6-inch / Wrap)]:[Meat (6-inch / Wrap)]], 'Cleaned sheet 1'!$A$1:$K$46, 6, FALSE) - $F$44</f>
        <v>5.3999999999999995</v>
      </c>
      <c r="G23" s="22" cm="1">
        <f t="array" ref="G23">VLOOKUP(MeatT[[#This Row],[Meat (6-inch / Wrap)]:[Meat (6-inch / Wrap)]], 'Cleaned sheet 1'!$A$1:$K$46, 7, FALSE) - $G$44</f>
        <v>0.7</v>
      </c>
      <c r="H23" s="22" cm="1">
        <f t="array" ref="H23">VLOOKUP(MeatT[[#This Row],[Meat (6-inch / Wrap)]:[Meat (6-inch / Wrap)]], 'Cleaned sheet 1'!$A$1:$K$46, 8, FALSE) - $H$44</f>
        <v>3.5999999999999943</v>
      </c>
      <c r="I23" s="22" cm="1">
        <f t="array" ref="I23">VLOOKUP(MeatT[[#This Row],[Meat (6-inch / Wrap)]:[Meat (6-inch / Wrap)]], 'Cleaned sheet 1'!$A$1:$K$46, 9, FALSE) - $I$44</f>
        <v>0</v>
      </c>
      <c r="J23" s="22" cm="1">
        <f t="array" ref="J23">VLOOKUP(MeatT[[#This Row],[Meat (6-inch / Wrap)]:[Meat (6-inch / Wrap)]], 'Cleaned sheet 1'!$A$1:$K$46, 10, FALSE) - $J$44</f>
        <v>0</v>
      </c>
      <c r="K23" s="22" cm="1">
        <f t="array" ref="K23">VLOOKUP(MeatT[[#This Row],[Meat (6-inch / Wrap)]:[Meat (6-inch / Wrap)]], 'Cleaned sheet 1'!$A$1:$K$46, 11, FALSE) - $K$44</f>
        <v>-0.20000000000001705</v>
      </c>
    </row>
    <row r="24" spans="1:11" ht="15.5" x14ac:dyDescent="0.3">
      <c r="A24" s="11" t="s">
        <v>140</v>
      </c>
      <c r="B24" s="22" cm="1">
        <f t="array" ref="B24">VLOOKUP(MeatT[[#This Row],[Meat (6-inch / Wrap)]:[Meat (6-inch / Wrap)]], 'Cleaned sheet 1'!$A$1:$K$46, 2, FALSE) - $B$44</f>
        <v>44</v>
      </c>
      <c r="C24" s="22" cm="1">
        <f t="array" ref="C24">VLOOKUP(MeatT[[#This Row],[Meat (6-inch / Wrap)]:[Meat (6-inch / Wrap)]], 'Cleaned sheet 1'!$A$1:$K$46, 3, FALSE) - $C$44</f>
        <v>651.50000000000011</v>
      </c>
      <c r="D24" s="22" cm="1">
        <f t="array" ref="D24">VLOOKUP(MeatT[[#This Row],[Meat (6-inch / Wrap)]:[Meat (6-inch / Wrap)]], 'Cleaned sheet 1'!$A$1:$K$46, 4, FALSE) - $D$44</f>
        <v>156.99999999999997</v>
      </c>
      <c r="E24" s="22" cm="1">
        <f t="array" ref="E24">VLOOKUP(MeatT[[#This Row],[Meat (6-inch / Wrap)]:[Meat (6-inch / Wrap)]], 'Cleaned sheet 1'!$A$1:$K$46, 5, FALSE) - $E$44</f>
        <v>12.700000000000001</v>
      </c>
      <c r="F24" s="22" cm="1">
        <f t="array" ref="F24">VLOOKUP(MeatT[[#This Row],[Meat (6-inch / Wrap)]:[Meat (6-inch / Wrap)]], 'Cleaned sheet 1'!$A$1:$K$46, 6, FALSE) - $F$44</f>
        <v>11.8</v>
      </c>
      <c r="G24" s="22" cm="1">
        <f t="array" ref="G24">VLOOKUP(MeatT[[#This Row],[Meat (6-inch / Wrap)]:[Meat (6-inch / Wrap)]], 'Cleaned sheet 1'!$A$1:$K$46, 7, FALSE) - $G$44</f>
        <v>5.4</v>
      </c>
      <c r="H24" s="22" cm="1">
        <f t="array" ref="H24">VLOOKUP(MeatT[[#This Row],[Meat (6-inch / Wrap)]:[Meat (6-inch / Wrap)]], 'Cleaned sheet 1'!$A$1:$K$46, 8, FALSE) - $H$44</f>
        <v>9.9999999999994316E-2</v>
      </c>
      <c r="I24" s="22" cm="1">
        <f t="array" ref="I24">VLOOKUP(MeatT[[#This Row],[Meat (6-inch / Wrap)]:[Meat (6-inch / Wrap)]], 'Cleaned sheet 1'!$A$1:$K$46, 9, FALSE) - $I$44</f>
        <v>-0.10000000000000053</v>
      </c>
      <c r="J24" s="22" cm="1">
        <f t="array" ref="J24">VLOOKUP(MeatT[[#This Row],[Meat (6-inch / Wrap)]:[Meat (6-inch / Wrap)]], 'Cleaned sheet 1'!$A$1:$K$46, 10, FALSE) - $J$44</f>
        <v>-0.30000000000000027</v>
      </c>
      <c r="K24" s="22" cm="1">
        <f t="array" ref="K24">VLOOKUP(MeatT[[#This Row],[Meat (6-inch / Wrap)]:[Meat (6-inch / Wrap)]], 'Cleaned sheet 1'!$A$1:$K$46, 11, FALSE) - $K$44</f>
        <v>468.79999999999995</v>
      </c>
    </row>
    <row r="25" spans="1:11" ht="15.5" x14ac:dyDescent="0.3">
      <c r="A25" s="11" t="s">
        <v>141</v>
      </c>
      <c r="B25" s="22" cm="1">
        <f t="array" ref="B25">VLOOKUP(MeatT[[#This Row],[Meat (6-inch / Wrap)]:[Meat (6-inch / Wrap)]], 'Cleaned sheet 1'!$A$1:$K$46, 2, FALSE) - $B$44</f>
        <v>35</v>
      </c>
      <c r="C25" s="22" cm="1">
        <f t="array" ref="C25">VLOOKUP(MeatT[[#This Row],[Meat (6-inch / Wrap)]:[Meat (6-inch / Wrap)]], 'Cleaned sheet 1'!$A$1:$K$46, 3, FALSE) - $C$44</f>
        <v>471.50000000000011</v>
      </c>
      <c r="D25" s="22" cm="1">
        <f t="array" ref="D25">VLOOKUP(MeatT[[#This Row],[Meat (6-inch / Wrap)]:[Meat (6-inch / Wrap)]], 'Cleaned sheet 1'!$A$1:$K$46, 4, FALSE) - $D$44</f>
        <v>111.99999999999997</v>
      </c>
      <c r="E25" s="22" cm="1">
        <f t="array" ref="E25">VLOOKUP(MeatT[[#This Row],[Meat (6-inch / Wrap)]:[Meat (6-inch / Wrap)]], 'Cleaned sheet 1'!$A$1:$K$46, 5, FALSE) - $E$44</f>
        <v>9.4999999999999982</v>
      </c>
      <c r="F25" s="22" cm="1">
        <f t="array" ref="F25">VLOOKUP(MeatT[[#This Row],[Meat (6-inch / Wrap)]:[Meat (6-inch / Wrap)]], 'Cleaned sheet 1'!$A$1:$K$46, 6, FALSE) - $F$44</f>
        <v>8.5</v>
      </c>
      <c r="G25" s="22" cm="1">
        <f t="array" ref="G25">VLOOKUP(MeatT[[#This Row],[Meat (6-inch / Wrap)]:[Meat (6-inch / Wrap)]], 'Cleaned sheet 1'!$A$1:$K$46, 7, FALSE) - $G$44</f>
        <v>3.9000000000000004</v>
      </c>
      <c r="H25" s="22" cm="1">
        <f t="array" ref="H25">VLOOKUP(MeatT[[#This Row],[Meat (6-inch / Wrap)]:[Meat (6-inch / Wrap)]], 'Cleaned sheet 1'!$A$1:$K$46, 8, FALSE) - $H$44</f>
        <v>0</v>
      </c>
      <c r="I25" s="22" cm="1">
        <f t="array" ref="I25">VLOOKUP(MeatT[[#This Row],[Meat (6-inch / Wrap)]:[Meat (6-inch / Wrap)]], 'Cleaned sheet 1'!$A$1:$K$46, 9, FALSE) - $I$44</f>
        <v>-0.20000000000000018</v>
      </c>
      <c r="J25" s="22" cm="1">
        <f t="array" ref="J25">VLOOKUP(MeatT[[#This Row],[Meat (6-inch / Wrap)]:[Meat (6-inch / Wrap)]], 'Cleaned sheet 1'!$A$1:$K$46, 10, FALSE) - $J$44</f>
        <v>-0.30000000000000027</v>
      </c>
      <c r="K25" s="22" cm="1">
        <f t="array" ref="K25">VLOOKUP(MeatT[[#This Row],[Meat (6-inch / Wrap)]:[Meat (6-inch / Wrap)]], 'Cleaned sheet 1'!$A$1:$K$46, 11, FALSE) - $K$44</f>
        <v>271.79999999999995</v>
      </c>
    </row>
    <row r="26" spans="1:11" ht="15.5" x14ac:dyDescent="0.3">
      <c r="A26" s="11" t="s">
        <v>142</v>
      </c>
      <c r="B26" s="22" cm="1">
        <f t="array" ref="B26">VLOOKUP(MeatT[[#This Row],[Meat (6-inch / Wrap)]:[Meat (6-inch / Wrap)]], 'Cleaned sheet 1'!$A$1:$K$46, 2, FALSE) - $B$44</f>
        <v>75</v>
      </c>
      <c r="C26" s="22" cm="1">
        <f t="array" ref="C26">VLOOKUP(MeatT[[#This Row],[Meat (6-inch / Wrap)]:[Meat (6-inch / Wrap)]], 'Cleaned sheet 1'!$A$1:$K$46, 3, FALSE) - $C$44</f>
        <v>631.50000000000011</v>
      </c>
      <c r="D26" s="22" cm="1">
        <f t="array" ref="D26">VLOOKUP(MeatT[[#This Row],[Meat (6-inch / Wrap)]:[Meat (6-inch / Wrap)]], 'Cleaned sheet 1'!$A$1:$K$46, 4, FALSE) - $D$44</f>
        <v>151.99999999999997</v>
      </c>
      <c r="E26" s="22" cm="1">
        <f t="array" ref="E26">VLOOKUP(MeatT[[#This Row],[Meat (6-inch / Wrap)]:[Meat (6-inch / Wrap)]], 'Cleaned sheet 1'!$A$1:$K$46, 5, FALSE) - $E$44</f>
        <v>16.5</v>
      </c>
      <c r="F26" s="22" cm="1">
        <f t="array" ref="F26">VLOOKUP(MeatT[[#This Row],[Meat (6-inch / Wrap)]:[Meat (6-inch / Wrap)]], 'Cleaned sheet 1'!$A$1:$K$46, 6, FALSE) - $F$44</f>
        <v>9.6000000000000014</v>
      </c>
      <c r="G26" s="22" cm="1">
        <f t="array" ref="G26">VLOOKUP(MeatT[[#This Row],[Meat (6-inch / Wrap)]:[Meat (6-inch / Wrap)]], 'Cleaned sheet 1'!$A$1:$K$46, 7, FALSE) - $G$44</f>
        <v>4.3</v>
      </c>
      <c r="H26" s="22" cm="1">
        <f t="array" ref="H26">VLOOKUP(MeatT[[#This Row],[Meat (6-inch / Wrap)]:[Meat (6-inch / Wrap)]], 'Cleaned sheet 1'!$A$1:$K$46, 8, FALSE) - $H$44</f>
        <v>0.59999999999999432</v>
      </c>
      <c r="I26" s="22" cm="1">
        <f t="array" ref="I26">VLOOKUP(MeatT[[#This Row],[Meat (6-inch / Wrap)]:[Meat (6-inch / Wrap)]], 'Cleaned sheet 1'!$A$1:$K$46, 9, FALSE) - $I$44</f>
        <v>0.39999999999999947</v>
      </c>
      <c r="J26" s="22" cm="1">
        <f t="array" ref="J26">VLOOKUP(MeatT[[#This Row],[Meat (6-inch / Wrap)]:[Meat (6-inch / Wrap)]], 'Cleaned sheet 1'!$A$1:$K$46, 10, FALSE) - $J$44</f>
        <v>-0.30000000000000027</v>
      </c>
      <c r="K26" s="22" cm="1">
        <f t="array" ref="K26">VLOOKUP(MeatT[[#This Row],[Meat (6-inch / Wrap)]:[Meat (6-inch / Wrap)]], 'Cleaned sheet 1'!$A$1:$K$46, 11, FALSE) - $K$44</f>
        <v>710.8</v>
      </c>
    </row>
    <row r="27" spans="1:11" ht="15.5" x14ac:dyDescent="0.3">
      <c r="A27" s="11" t="s">
        <v>143</v>
      </c>
      <c r="B27" s="22" cm="1">
        <f t="array" ref="B27">VLOOKUP(MeatT[[#This Row],[Meat (6-inch / Wrap)]:[Meat (6-inch / Wrap)]], 'Cleaned sheet 1'!$A$1:$K$46, 2, FALSE) - $B$44</f>
        <v>99</v>
      </c>
      <c r="C27" s="22" cm="1">
        <f t="array" ref="C27">VLOOKUP(MeatT[[#This Row],[Meat (6-inch / Wrap)]:[Meat (6-inch / Wrap)]], 'Cleaned sheet 1'!$A$1:$K$46, 3, FALSE) - $C$44</f>
        <v>901.50000000000011</v>
      </c>
      <c r="D27" s="22" cm="1">
        <f t="array" ref="D27">VLOOKUP(MeatT[[#This Row],[Meat (6-inch / Wrap)]:[Meat (6-inch / Wrap)]], 'Cleaned sheet 1'!$A$1:$K$46, 4, FALSE) - $D$44</f>
        <v>215.99999999999997</v>
      </c>
      <c r="E27" s="22" cm="1">
        <f t="array" ref="E27">VLOOKUP(MeatT[[#This Row],[Meat (6-inch / Wrap)]:[Meat (6-inch / Wrap)]], 'Cleaned sheet 1'!$A$1:$K$46, 5, FALSE) - $E$44</f>
        <v>23.9</v>
      </c>
      <c r="F27" s="22" cm="1">
        <f t="array" ref="F27">VLOOKUP(MeatT[[#This Row],[Meat (6-inch / Wrap)]:[Meat (6-inch / Wrap)]], 'Cleaned sheet 1'!$A$1:$K$46, 6, FALSE) - $F$44</f>
        <v>12.899999999999999</v>
      </c>
      <c r="G27" s="22" cm="1">
        <f t="array" ref="G27">VLOOKUP(MeatT[[#This Row],[Meat (6-inch / Wrap)]:[Meat (6-inch / Wrap)]], 'Cleaned sheet 1'!$A$1:$K$46, 7, FALSE) - $G$44</f>
        <v>5.9</v>
      </c>
      <c r="H27" s="22" cm="1">
        <f t="array" ref="H27">VLOOKUP(MeatT[[#This Row],[Meat (6-inch / Wrap)]:[Meat (6-inch / Wrap)]], 'Cleaned sheet 1'!$A$1:$K$46, 8, FALSE) - $H$44</f>
        <v>0.59999999999999432</v>
      </c>
      <c r="I27" s="22" cm="1">
        <f t="array" ref="I27">VLOOKUP(MeatT[[#This Row],[Meat (6-inch / Wrap)]:[Meat (6-inch / Wrap)]], 'Cleaned sheet 1'!$A$1:$K$46, 9, FALSE) - $I$44</f>
        <v>0.29999999999999982</v>
      </c>
      <c r="J27" s="22" cm="1">
        <f t="array" ref="J27">VLOOKUP(MeatT[[#This Row],[Meat (6-inch / Wrap)]:[Meat (6-inch / Wrap)]], 'Cleaned sheet 1'!$A$1:$K$46, 10, FALSE) - $J$44</f>
        <v>-0.30000000000000027</v>
      </c>
      <c r="K27" s="22" cm="1">
        <f t="array" ref="K27">VLOOKUP(MeatT[[#This Row],[Meat (6-inch / Wrap)]:[Meat (6-inch / Wrap)]], 'Cleaned sheet 1'!$A$1:$K$46, 11, FALSE) - $K$44</f>
        <v>629.79999999999995</v>
      </c>
    </row>
    <row r="30" spans="1:11" ht="15.5" x14ac:dyDescent="0.3">
      <c r="A30" s="84" t="s">
        <v>337</v>
      </c>
      <c r="B30" s="84" t="s">
        <v>157</v>
      </c>
      <c r="C30" s="84" t="s">
        <v>158</v>
      </c>
      <c r="D30" s="84" t="s">
        <v>159</v>
      </c>
      <c r="E30" s="84" t="s">
        <v>160</v>
      </c>
      <c r="F30" s="84" t="s">
        <v>161</v>
      </c>
      <c r="G30" s="84" t="s">
        <v>162</v>
      </c>
      <c r="H30" s="84" t="s">
        <v>163</v>
      </c>
      <c r="I30" s="84" t="s">
        <v>164</v>
      </c>
      <c r="J30" s="84" t="s">
        <v>165</v>
      </c>
      <c r="K30" s="84" t="s">
        <v>166</v>
      </c>
    </row>
    <row r="31" spans="1:11" ht="15.5" x14ac:dyDescent="0.3">
      <c r="A31" s="74" t="s">
        <v>231</v>
      </c>
      <c r="B31" s="79" cm="1">
        <f t="array" ref="B31">VLOOKUP(PromT[[#This Row],[Promotional items (6-inch / Wrap)]:[Promotional items (6-inch / Wrap)]], 'Cleaned sheet 2'!$A$1:$K$78, 2, FALSE) - $B$52</f>
        <v>73.599999999999994</v>
      </c>
      <c r="C31" s="79" cm="1">
        <f t="array" ref="C31">VLOOKUP(PromT[[#This Row],[Promotional items (6-inch / Wrap)]:[Promotional items (6-inch / Wrap)]], 'Cleaned sheet 2'!$A$1:$K$78, 3, FALSE) - $C$52</f>
        <v>777</v>
      </c>
      <c r="D31" s="79" cm="1">
        <f t="array" ref="D31">VLOOKUP(PromT[[#This Row],[Promotional items (6-inch / Wrap)]:[Promotional items (6-inch / Wrap)]], 'Cleaned sheet 2'!$A$1:$K$78, 4, FALSE) - $D$52</f>
        <v>187.10000000000002</v>
      </c>
      <c r="E31" s="79" cm="1">
        <f t="array" ref="E31">VLOOKUP(PromT[[#This Row],[Promotional items (6-inch / Wrap)]:[Promotional items (6-inch / Wrap)]], 'Cleaned sheet 2'!$A$1:$K$78, 5, FALSE) - $E$52</f>
        <v>14.100000000000001</v>
      </c>
      <c r="F31" s="79" cm="1">
        <f t="array" ref="F31">VLOOKUP(PromT[[#This Row],[Promotional items (6-inch / Wrap)]:[Promotional items (6-inch / Wrap)]], 'Cleaned sheet 2'!$A$1:$K$78, 6, FALSE) - $F$52</f>
        <v>10.199999999999999</v>
      </c>
      <c r="G31" s="79" cm="1">
        <f t="array" ref="G31">VLOOKUP(PromT[[#This Row],[Promotional items (6-inch / Wrap)]:[Promotional items (6-inch / Wrap)]], 'Cleaned sheet 2'!$A$1:$K$78, 7, FALSE) - $G$52</f>
        <v>4</v>
      </c>
      <c r="H31" s="79" cm="1">
        <f t="array" ref="H31">VLOOKUP(PromT[[#This Row],[Promotional items (6-inch / Wrap)]:[Promotional items (6-inch / Wrap)]], 'Cleaned sheet 2'!$A$1:$K$78, 8, FALSE) - $H$52</f>
        <v>9.7000000000000028</v>
      </c>
      <c r="I31" s="79" cm="1">
        <f t="array" ref="I31">VLOOKUP(PromT[[#This Row],[Promotional items (6-inch / Wrap)]:[Promotional items (6-inch / Wrap)]], 'Cleaned sheet 2'!$A$1:$K$78, 9, FALSE) - $I$52</f>
        <v>6.1</v>
      </c>
      <c r="J31" s="79" cm="1">
        <f t="array" ref="J31">VLOOKUP(PromT[[#This Row],[Promotional items (6-inch / Wrap)]:[Promotional items (6-inch / Wrap)]], 'Cleaned sheet 2'!$A$1:$K$78, 10, FALSE) - $J$52</f>
        <v>9.9999999999999645E-2</v>
      </c>
      <c r="K31" s="79" cm="1">
        <f t="array" ref="K31">VLOOKUP(PromT[[#This Row],[Promotional items (6-inch / Wrap)]:[Promotional items (6-inch / Wrap)]], 'Cleaned sheet 2'!$A$1:$K$78, 11, FALSE) - $K$52</f>
        <v>726.8</v>
      </c>
    </row>
    <row r="32" spans="1:11" ht="15.5" x14ac:dyDescent="0.3">
      <c r="A32" s="76" t="s">
        <v>232</v>
      </c>
      <c r="B32" s="85" cm="1">
        <f t="array" ref="B32">VLOOKUP(PromT[[#This Row],[Promotional items (6-inch / Wrap)]:[Promotional items (6-inch / Wrap)]], 'Cleaned sheet 2'!$A$1:$K$78, 2, FALSE) - $B$61</f>
        <v>76.699999999999989</v>
      </c>
      <c r="C32" s="85" cm="1">
        <f t="array" ref="C32">VLOOKUP(PromT[[#This Row],[Promotional items (6-inch / Wrap)]:[Promotional items (6-inch / Wrap)]], 'Cleaned sheet 2'!$A$1:$K$78, 3, FALSE) - $C$61</f>
        <v>968</v>
      </c>
      <c r="D32" s="85" cm="1">
        <f t="array" ref="D32">VLOOKUP(PromT[[#This Row],[Promotional items (6-inch / Wrap)]:[Promotional items (6-inch / Wrap)]], 'Cleaned sheet 2'!$A$1:$K$78, 4, FALSE) - $D$61</f>
        <v>232.2</v>
      </c>
      <c r="E32" s="85" cm="1">
        <f t="array" ref="E32">VLOOKUP(PromT[[#This Row],[Promotional items (6-inch / Wrap)]:[Promotional items (6-inch / Wrap)]], 'Cleaned sheet 2'!$A$1:$K$78, 5, FALSE) - $E$61</f>
        <v>17.5</v>
      </c>
      <c r="F32" s="85" cm="1">
        <f t="array" ref="F32">VLOOKUP(PromT[[#This Row],[Promotional items (6-inch / Wrap)]:[Promotional items (6-inch / Wrap)]], 'Cleaned sheet 2'!$A$1:$K$78, 6, FALSE) - $F$61</f>
        <v>13.599999999999998</v>
      </c>
      <c r="G32" s="85" cm="1">
        <f t="array" ref="G32">VLOOKUP(PromT[[#This Row],[Promotional items (6-inch / Wrap)]:[Promotional items (6-inch / Wrap)]], 'Cleaned sheet 2'!$A$1:$K$78, 7, FALSE) - $G$61</f>
        <v>5.5</v>
      </c>
      <c r="H32" s="85" cm="1">
        <f t="array" ref="H32">VLOOKUP(PromT[[#This Row],[Promotional items (6-inch / Wrap)]:[Promotional items (6-inch / Wrap)]], 'Cleaned sheet 2'!$A$1:$K$78, 8, FALSE) - $H$61</f>
        <v>9.8999999999999986</v>
      </c>
      <c r="I32" s="85" cm="1">
        <f t="array" ref="I32">VLOOKUP(PromT[[#This Row],[Promotional items (6-inch / Wrap)]:[Promotional items (6-inch / Wrap)]], 'Cleaned sheet 2'!$A$1:$K$78, 9, FALSE) - $I$61</f>
        <v>6.3999999999999986</v>
      </c>
      <c r="J32" s="85" cm="1">
        <f t="array" ref="J32">VLOOKUP(PromT[[#This Row],[Promotional items (6-inch / Wrap)]:[Promotional items (6-inch / Wrap)]], 'Cleaned sheet 2'!$A$1:$K$78, 10, FALSE) - $J$61</f>
        <v>0</v>
      </c>
      <c r="K32" s="85" cm="1">
        <f t="array" ref="K32">VLOOKUP(PromT[[#This Row],[Promotional items (6-inch / Wrap)]:[Promotional items (6-inch / Wrap)]], 'Cleaned sheet 2'!$A$1:$K$78, 11, FALSE) - $K$61</f>
        <v>874.8</v>
      </c>
    </row>
    <row r="36" spans="1:11" ht="15.5" x14ac:dyDescent="0.3">
      <c r="A36" s="10" t="s">
        <v>338</v>
      </c>
      <c r="B36" s="10" t="s">
        <v>157</v>
      </c>
      <c r="C36" s="10" t="s">
        <v>158</v>
      </c>
      <c r="D36" s="10" t="s">
        <v>159</v>
      </c>
      <c r="E36" s="10" t="s">
        <v>160</v>
      </c>
      <c r="F36" s="10" t="s">
        <v>161</v>
      </c>
      <c r="G36" s="10" t="s">
        <v>162</v>
      </c>
      <c r="H36" s="10" t="s">
        <v>163</v>
      </c>
      <c r="I36" s="10" t="s">
        <v>164</v>
      </c>
      <c r="J36" s="10" t="s">
        <v>165</v>
      </c>
      <c r="K36" s="10" t="s">
        <v>166</v>
      </c>
    </row>
    <row r="37" spans="1:11" ht="15.5" x14ac:dyDescent="0.3">
      <c r="A37" s="10" t="s">
        <v>271</v>
      </c>
      <c r="B37" s="23">
        <v>67</v>
      </c>
      <c r="C37" s="23">
        <v>817</v>
      </c>
      <c r="D37" s="23">
        <v>195</v>
      </c>
      <c r="E37" s="23">
        <v>7.4</v>
      </c>
      <c r="F37" s="23">
        <v>2.1</v>
      </c>
      <c r="G37" s="23">
        <v>0.3</v>
      </c>
      <c r="H37" s="23">
        <v>35.200000000000003</v>
      </c>
      <c r="I37" s="23">
        <v>2.7</v>
      </c>
      <c r="J37" s="23">
        <v>1.8</v>
      </c>
      <c r="K37" s="23">
        <v>239</v>
      </c>
    </row>
    <row r="38" spans="1:11" ht="15.5" x14ac:dyDescent="0.3">
      <c r="A38" s="10" t="s">
        <v>218</v>
      </c>
      <c r="B38" s="23">
        <v>21</v>
      </c>
      <c r="C38" s="23">
        <v>12.3</v>
      </c>
      <c r="D38" s="23">
        <v>2.9</v>
      </c>
      <c r="E38" s="23">
        <v>0.2</v>
      </c>
      <c r="F38" s="23">
        <v>0</v>
      </c>
      <c r="G38" s="23">
        <v>0</v>
      </c>
      <c r="H38" s="23">
        <v>0.4</v>
      </c>
      <c r="I38" s="23">
        <v>0.4</v>
      </c>
      <c r="J38" s="23">
        <v>0.3</v>
      </c>
      <c r="K38" s="23">
        <v>2.1</v>
      </c>
    </row>
    <row r="39" spans="1:11" ht="15.5" x14ac:dyDescent="0.3">
      <c r="A39" s="10" t="s">
        <v>223</v>
      </c>
      <c r="B39" s="23">
        <v>7</v>
      </c>
      <c r="C39" s="23">
        <v>6.4</v>
      </c>
      <c r="D39" s="23">
        <v>1.5</v>
      </c>
      <c r="E39" s="23">
        <v>0.2</v>
      </c>
      <c r="F39" s="23">
        <v>0</v>
      </c>
      <c r="G39" s="23">
        <v>0</v>
      </c>
      <c r="H39" s="23">
        <v>0.2</v>
      </c>
      <c r="I39" s="23">
        <v>0</v>
      </c>
      <c r="J39" s="23">
        <v>0.2</v>
      </c>
      <c r="K39" s="23">
        <v>5.5</v>
      </c>
    </row>
    <row r="40" spans="1:11" ht="15.5" x14ac:dyDescent="0.3">
      <c r="A40" s="10" t="s">
        <v>251</v>
      </c>
      <c r="B40" s="23">
        <v>35</v>
      </c>
      <c r="C40" s="23">
        <v>26.4</v>
      </c>
      <c r="D40" s="23">
        <v>6.3</v>
      </c>
      <c r="E40" s="23">
        <v>0.3</v>
      </c>
      <c r="F40" s="23">
        <v>0.1</v>
      </c>
      <c r="G40" s="23">
        <v>0</v>
      </c>
      <c r="H40" s="23">
        <v>0.9</v>
      </c>
      <c r="I40" s="23">
        <v>0.9</v>
      </c>
      <c r="J40" s="23">
        <v>0.4</v>
      </c>
      <c r="K40" s="23">
        <v>1.8</v>
      </c>
    </row>
    <row r="41" spans="1:11" ht="15.5" x14ac:dyDescent="0.3">
      <c r="A41" s="10" t="s">
        <v>278</v>
      </c>
      <c r="B41" s="23">
        <v>14</v>
      </c>
      <c r="C41" s="23">
        <v>8.8000000000000007</v>
      </c>
      <c r="D41" s="23">
        <v>2.1</v>
      </c>
      <c r="E41" s="23">
        <v>0.1</v>
      </c>
      <c r="F41" s="23">
        <v>0</v>
      </c>
      <c r="G41" s="23">
        <v>0</v>
      </c>
      <c r="H41" s="23">
        <v>0.4</v>
      </c>
      <c r="I41" s="23">
        <v>0.2</v>
      </c>
      <c r="J41" s="23">
        <v>0.1</v>
      </c>
      <c r="K41" s="23">
        <v>0.3</v>
      </c>
    </row>
    <row r="42" spans="1:11" ht="15.5" x14ac:dyDescent="0.3">
      <c r="A42" s="10" t="s">
        <v>219</v>
      </c>
      <c r="B42" s="23">
        <v>7</v>
      </c>
      <c r="C42" s="23">
        <v>11.7</v>
      </c>
      <c r="D42" s="23">
        <v>2.8</v>
      </c>
      <c r="E42" s="23">
        <v>0.1</v>
      </c>
      <c r="F42" s="23">
        <v>0</v>
      </c>
      <c r="G42" s="23">
        <v>0</v>
      </c>
      <c r="H42" s="23">
        <v>0.5</v>
      </c>
      <c r="I42" s="23">
        <v>0.3</v>
      </c>
      <c r="J42" s="23">
        <v>0.1</v>
      </c>
      <c r="K42" s="23">
        <v>0.3</v>
      </c>
    </row>
    <row r="43" spans="1:11" ht="15.5" x14ac:dyDescent="0.3">
      <c r="A43" s="10" t="s">
        <v>247</v>
      </c>
      <c r="B43" s="23">
        <v>7</v>
      </c>
      <c r="C43" s="23">
        <v>5.9</v>
      </c>
      <c r="D43" s="23">
        <v>1.4</v>
      </c>
      <c r="E43" s="23">
        <v>0.1</v>
      </c>
      <c r="F43" s="23">
        <v>0</v>
      </c>
      <c r="G43" s="23">
        <v>0</v>
      </c>
      <c r="H43" s="23">
        <v>0.2</v>
      </c>
      <c r="I43" s="23">
        <v>0.2</v>
      </c>
      <c r="J43" s="23">
        <v>0.1</v>
      </c>
      <c r="K43" s="23">
        <v>0.2</v>
      </c>
    </row>
    <row r="44" spans="1:11" ht="15.5" x14ac:dyDescent="0.3">
      <c r="A44" s="15" t="s">
        <v>281</v>
      </c>
      <c r="B44" s="65">
        <v>158</v>
      </c>
      <c r="C44" s="65">
        <v>888.49999999999989</v>
      </c>
      <c r="D44" s="65">
        <v>212.00000000000003</v>
      </c>
      <c r="E44" s="65">
        <v>8.4</v>
      </c>
      <c r="F44" s="65">
        <v>2.2000000000000002</v>
      </c>
      <c r="G44" s="65">
        <v>0.3</v>
      </c>
      <c r="H44" s="65">
        <v>37.800000000000004</v>
      </c>
      <c r="I44" s="65">
        <v>4.7</v>
      </c>
      <c r="J44" s="65">
        <v>3.0000000000000004</v>
      </c>
      <c r="K44" s="65">
        <v>249.20000000000002</v>
      </c>
    </row>
    <row r="46" spans="1:11" ht="15.5" x14ac:dyDescent="0.3">
      <c r="A46" s="10" t="s">
        <v>339</v>
      </c>
      <c r="B46" s="10" t="s">
        <v>157</v>
      </c>
      <c r="C46" s="10" t="s">
        <v>158</v>
      </c>
      <c r="D46" s="10" t="s">
        <v>159</v>
      </c>
      <c r="E46" s="10" t="s">
        <v>160</v>
      </c>
      <c r="F46" s="10" t="s">
        <v>161</v>
      </c>
      <c r="G46" s="10" t="s">
        <v>162</v>
      </c>
      <c r="H46" s="10" t="s">
        <v>163</v>
      </c>
      <c r="I46" s="10" t="s">
        <v>164</v>
      </c>
      <c r="J46" s="10" t="s">
        <v>165</v>
      </c>
      <c r="K46" s="10" t="s">
        <v>166</v>
      </c>
    </row>
    <row r="47" spans="1:11" ht="15.5" x14ac:dyDescent="0.3">
      <c r="A47" s="10" t="s">
        <v>218</v>
      </c>
      <c r="B47" s="23">
        <v>21</v>
      </c>
      <c r="C47" s="23">
        <v>12.3</v>
      </c>
      <c r="D47" s="23">
        <v>2.9</v>
      </c>
      <c r="E47" s="23">
        <v>0.2</v>
      </c>
      <c r="F47" s="23">
        <v>0</v>
      </c>
      <c r="G47" s="23">
        <v>0</v>
      </c>
      <c r="H47" s="23">
        <v>0.4</v>
      </c>
      <c r="I47" s="23">
        <v>0.4</v>
      </c>
      <c r="J47" s="23">
        <v>0.3</v>
      </c>
      <c r="K47" s="23">
        <v>2.1</v>
      </c>
    </row>
    <row r="48" spans="1:11" ht="15.5" x14ac:dyDescent="0.3">
      <c r="A48" s="10" t="s">
        <v>219</v>
      </c>
      <c r="B48" s="23">
        <v>7</v>
      </c>
      <c r="C48" s="23">
        <v>11.7</v>
      </c>
      <c r="D48" s="23">
        <v>2.8</v>
      </c>
      <c r="E48" s="23">
        <v>0.1</v>
      </c>
      <c r="F48" s="23">
        <v>0</v>
      </c>
      <c r="G48" s="23">
        <v>0</v>
      </c>
      <c r="H48" s="23">
        <v>0.5</v>
      </c>
      <c r="I48" s="23">
        <v>0.3</v>
      </c>
      <c r="J48" s="23">
        <v>0.1</v>
      </c>
      <c r="K48" s="23">
        <v>0.3</v>
      </c>
    </row>
    <row r="49" spans="1:11" ht="15.5" x14ac:dyDescent="0.3">
      <c r="A49" s="10" t="s">
        <v>215</v>
      </c>
      <c r="B49" s="23">
        <v>7</v>
      </c>
      <c r="C49" s="23">
        <v>12</v>
      </c>
      <c r="D49" s="23">
        <v>2.9</v>
      </c>
      <c r="E49" s="23">
        <v>0.1</v>
      </c>
      <c r="F49" s="23">
        <v>0</v>
      </c>
      <c r="G49" s="23">
        <v>0</v>
      </c>
      <c r="H49" s="23">
        <v>0.5</v>
      </c>
      <c r="I49" s="23">
        <v>0.3</v>
      </c>
      <c r="J49" s="23">
        <v>0.2</v>
      </c>
      <c r="K49" s="23">
        <v>4.8</v>
      </c>
    </row>
    <row r="50" spans="1:11" ht="15.5" x14ac:dyDescent="0.3">
      <c r="A50" s="10" t="s">
        <v>205</v>
      </c>
      <c r="B50" s="23">
        <v>21</v>
      </c>
      <c r="C50" s="23">
        <v>131</v>
      </c>
      <c r="D50" s="23">
        <v>31.3</v>
      </c>
      <c r="E50" s="23">
        <v>0.2</v>
      </c>
      <c r="F50" s="23">
        <v>0.2</v>
      </c>
      <c r="G50" s="23">
        <v>0.2</v>
      </c>
      <c r="H50" s="23">
        <v>7.5</v>
      </c>
      <c r="I50" s="23">
        <v>5.7</v>
      </c>
      <c r="J50" s="23">
        <v>0.2</v>
      </c>
      <c r="K50" s="23">
        <v>172</v>
      </c>
    </row>
    <row r="51" spans="1:11" ht="15.5" x14ac:dyDescent="0.3">
      <c r="A51" s="10" t="s">
        <v>274</v>
      </c>
      <c r="B51" s="23">
        <v>78.400000000000006</v>
      </c>
      <c r="C51" s="23">
        <v>976</v>
      </c>
      <c r="D51" s="23">
        <v>233</v>
      </c>
      <c r="E51" s="23">
        <v>9.4</v>
      </c>
      <c r="F51" s="23">
        <v>4.5</v>
      </c>
      <c r="G51" s="23">
        <v>2</v>
      </c>
      <c r="H51" s="23">
        <v>37.4</v>
      </c>
      <c r="I51" s="23">
        <v>2.8</v>
      </c>
      <c r="J51" s="23">
        <v>2.1</v>
      </c>
      <c r="K51" s="23">
        <v>424</v>
      </c>
    </row>
    <row r="52" spans="1:11" ht="15.5" x14ac:dyDescent="0.3">
      <c r="A52" s="15" t="s">
        <v>281</v>
      </c>
      <c r="B52" s="65">
        <v>134.4</v>
      </c>
      <c r="C52" s="65">
        <v>1143</v>
      </c>
      <c r="D52" s="65">
        <v>272.89999999999998</v>
      </c>
      <c r="E52" s="65">
        <v>10</v>
      </c>
      <c r="F52" s="65">
        <v>4.7</v>
      </c>
      <c r="G52" s="65">
        <v>2.2000000000000002</v>
      </c>
      <c r="H52" s="65">
        <v>46.3</v>
      </c>
      <c r="I52" s="65">
        <v>9.5</v>
      </c>
      <c r="J52" s="65">
        <v>2.9000000000000004</v>
      </c>
      <c r="K52" s="65">
        <v>603.20000000000005</v>
      </c>
    </row>
    <row r="54" spans="1:11" ht="15.5" x14ac:dyDescent="0.3">
      <c r="A54" s="10" t="s">
        <v>340</v>
      </c>
      <c r="B54" s="10" t="s">
        <v>157</v>
      </c>
      <c r="C54" s="10" t="s">
        <v>158</v>
      </c>
      <c r="D54" s="10" t="s">
        <v>159</v>
      </c>
      <c r="E54" s="10" t="s">
        <v>160</v>
      </c>
      <c r="F54" s="10" t="s">
        <v>161</v>
      </c>
      <c r="G54" s="10" t="s">
        <v>162</v>
      </c>
      <c r="H54" s="10" t="s">
        <v>163</v>
      </c>
      <c r="I54" s="10" t="s">
        <v>164</v>
      </c>
      <c r="J54" s="10" t="s">
        <v>165</v>
      </c>
      <c r="K54" s="10" t="s">
        <v>166</v>
      </c>
    </row>
    <row r="55" spans="1:11" ht="15.5" x14ac:dyDescent="0.3">
      <c r="A55" s="10" t="s">
        <v>218</v>
      </c>
      <c r="B55" s="23">
        <v>21</v>
      </c>
      <c r="C55" s="23">
        <v>12.3</v>
      </c>
      <c r="D55" s="23">
        <v>2.9</v>
      </c>
      <c r="E55" s="23">
        <v>0.2</v>
      </c>
      <c r="F55" s="23">
        <v>0</v>
      </c>
      <c r="G55" s="23">
        <v>0</v>
      </c>
      <c r="H55" s="23">
        <v>0.4</v>
      </c>
      <c r="I55" s="23">
        <v>0.4</v>
      </c>
      <c r="J55" s="23">
        <v>0.3</v>
      </c>
      <c r="K55" s="23">
        <v>2.1</v>
      </c>
    </row>
    <row r="56" spans="1:11" ht="15.5" x14ac:dyDescent="0.3">
      <c r="A56" s="10" t="s">
        <v>219</v>
      </c>
      <c r="B56" s="23">
        <v>7</v>
      </c>
      <c r="C56" s="23">
        <v>11.7</v>
      </c>
      <c r="D56" s="23">
        <v>2.8</v>
      </c>
      <c r="E56" s="23">
        <v>0.1</v>
      </c>
      <c r="F56" s="23">
        <v>0</v>
      </c>
      <c r="G56" s="23">
        <v>0</v>
      </c>
      <c r="H56" s="23">
        <v>0.5</v>
      </c>
      <c r="I56" s="23">
        <v>0.3</v>
      </c>
      <c r="J56" s="23">
        <v>0.1</v>
      </c>
      <c r="K56" s="23">
        <v>0.3</v>
      </c>
    </row>
    <row r="57" spans="1:11" ht="15.5" x14ac:dyDescent="0.3">
      <c r="A57" s="10" t="s">
        <v>215</v>
      </c>
      <c r="B57" s="23">
        <v>7</v>
      </c>
      <c r="C57" s="23">
        <v>12</v>
      </c>
      <c r="D57" s="23">
        <v>2.9</v>
      </c>
      <c r="E57" s="23">
        <v>0.1</v>
      </c>
      <c r="F57" s="23">
        <v>0</v>
      </c>
      <c r="G57" s="23">
        <v>0</v>
      </c>
      <c r="H57" s="23">
        <v>0.5</v>
      </c>
      <c r="I57" s="23">
        <v>0.3</v>
      </c>
      <c r="J57" s="23">
        <v>0.2</v>
      </c>
      <c r="K57" s="23">
        <v>4.8</v>
      </c>
    </row>
    <row r="58" spans="1:11" ht="15.5" x14ac:dyDescent="0.3">
      <c r="A58" s="10" t="s">
        <v>264</v>
      </c>
      <c r="B58" s="23">
        <v>11.3</v>
      </c>
      <c r="C58" s="23">
        <v>162</v>
      </c>
      <c r="D58" s="23">
        <v>38.6</v>
      </c>
      <c r="E58" s="23">
        <v>2.2999999999999998</v>
      </c>
      <c r="F58" s="23">
        <v>3.1</v>
      </c>
      <c r="G58" s="23">
        <v>2</v>
      </c>
      <c r="H58" s="23">
        <v>0.5</v>
      </c>
      <c r="I58" s="23">
        <v>0.2</v>
      </c>
      <c r="J58" s="23">
        <v>0</v>
      </c>
      <c r="K58" s="23">
        <v>136</v>
      </c>
    </row>
    <row r="59" spans="1:11" ht="15.5" x14ac:dyDescent="0.3">
      <c r="A59" s="10" t="s">
        <v>271</v>
      </c>
      <c r="B59" s="23">
        <v>67</v>
      </c>
      <c r="C59" s="23">
        <v>817</v>
      </c>
      <c r="D59" s="23">
        <v>195</v>
      </c>
      <c r="E59" s="23">
        <v>7.4</v>
      </c>
      <c r="F59" s="23">
        <v>2.1</v>
      </c>
      <c r="G59" s="23">
        <v>0.3</v>
      </c>
      <c r="H59" s="23">
        <v>35.200000000000003</v>
      </c>
      <c r="I59" s="23">
        <v>2.7</v>
      </c>
      <c r="J59" s="23">
        <v>1.8</v>
      </c>
      <c r="K59" s="23">
        <v>239</v>
      </c>
    </row>
    <row r="60" spans="1:11" ht="15.5" x14ac:dyDescent="0.3">
      <c r="A60" s="10" t="s">
        <v>206</v>
      </c>
      <c r="B60" s="23">
        <v>15</v>
      </c>
      <c r="C60" s="23">
        <v>157</v>
      </c>
      <c r="D60" s="23">
        <v>37.6</v>
      </c>
      <c r="E60" s="23">
        <v>0.2</v>
      </c>
      <c r="F60" s="23">
        <v>7.4</v>
      </c>
      <c r="G60" s="23">
        <v>0.6</v>
      </c>
      <c r="H60" s="23">
        <v>1.7</v>
      </c>
      <c r="I60" s="23">
        <v>1.4</v>
      </c>
      <c r="J60" s="23">
        <v>0.1</v>
      </c>
      <c r="K60" s="23">
        <v>153</v>
      </c>
    </row>
    <row r="61" spans="1:11" ht="15.5" x14ac:dyDescent="0.3">
      <c r="A61" s="15" t="s">
        <v>281</v>
      </c>
      <c r="B61" s="65">
        <v>128.30000000000001</v>
      </c>
      <c r="C61" s="65">
        <v>1172</v>
      </c>
      <c r="D61" s="65">
        <v>279.8</v>
      </c>
      <c r="E61" s="65">
        <v>10.299999999999999</v>
      </c>
      <c r="F61" s="65">
        <v>12.600000000000001</v>
      </c>
      <c r="G61" s="65">
        <v>2.9</v>
      </c>
      <c r="H61" s="65">
        <v>38.800000000000004</v>
      </c>
      <c r="I61" s="65">
        <v>5.3000000000000007</v>
      </c>
      <c r="J61" s="65">
        <v>2.5000000000000004</v>
      </c>
      <c r="K61" s="65">
        <v>535.20000000000005</v>
      </c>
    </row>
  </sheetData>
  <pageMargins left="0.7" right="0.7" top="0.75" bottom="0.75" header="0.3" footer="0.3"/>
  <pageSetup paperSize="9" orientation="portrait" horizontalDpi="300" verticalDpi="300" r:id="rId1"/>
  <legacyDrawing r:id="rId2"/>
  <tableParts count="5">
    <tablePart r:id="rId3"/>
    <tablePart r:id="rId4"/>
    <tablePart r:id="rId5"/>
    <tablePart r:id="rId6"/>
    <tablePart r:id="rId7"/>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4622D0-EA59-4F61-93A9-1E564CB8ED56}">
  <sheetPr codeName="Sheet5"/>
  <dimension ref="A1:K78"/>
  <sheetViews>
    <sheetView topLeftCell="A31" zoomScaleNormal="124" workbookViewId="0">
      <selection activeCell="A76" sqref="A76"/>
    </sheetView>
  </sheetViews>
  <sheetFormatPr defaultRowHeight="15.5" x14ac:dyDescent="0.3"/>
  <cols>
    <col min="1" max="1" width="120.09765625" style="10" bestFit="1" customWidth="1"/>
    <col min="2" max="2" width="15.59765625" style="10" bestFit="1" customWidth="1"/>
    <col min="3" max="3" width="11.3984375" style="10" bestFit="1" customWidth="1"/>
    <col min="4" max="4" width="13.5" style="10" bestFit="1" customWidth="1"/>
    <col min="5" max="5" width="11.296875" style="10" bestFit="1" customWidth="1"/>
    <col min="6" max="6" width="13.3984375" style="10" bestFit="1" customWidth="1"/>
    <col min="7" max="7" width="11.3984375" style="10" bestFit="1" customWidth="1"/>
    <col min="8" max="8" width="18.796875" style="10" bestFit="1" customWidth="1"/>
    <col min="9" max="9" width="10.5" style="10" bestFit="1" customWidth="1"/>
    <col min="10" max="10" width="16.796875" style="10" bestFit="1" customWidth="1"/>
    <col min="11" max="11" width="13.3984375" style="10" bestFit="1" customWidth="1"/>
    <col min="12" max="16384" width="8.796875" style="10"/>
  </cols>
  <sheetData>
    <row r="1" spans="1:11" x14ac:dyDescent="0.3">
      <c r="A1" s="17" t="s">
        <v>234</v>
      </c>
      <c r="B1" s="17" t="s">
        <v>157</v>
      </c>
      <c r="C1" s="17" t="s">
        <v>158</v>
      </c>
      <c r="D1" s="17" t="s">
        <v>159</v>
      </c>
      <c r="E1" s="17" t="s">
        <v>160</v>
      </c>
      <c r="F1" s="17" t="s">
        <v>161</v>
      </c>
      <c r="G1" s="17" t="s">
        <v>162</v>
      </c>
      <c r="H1" s="17" t="s">
        <v>163</v>
      </c>
      <c r="I1" s="17" t="s">
        <v>164</v>
      </c>
      <c r="J1" s="17" t="s">
        <v>165</v>
      </c>
      <c r="K1" s="17" t="s">
        <v>166</v>
      </c>
    </row>
    <row r="2" spans="1:11" x14ac:dyDescent="0.3">
      <c r="A2" s="16" t="s">
        <v>176</v>
      </c>
      <c r="B2" s="18"/>
      <c r="C2" s="18"/>
      <c r="D2" s="18"/>
      <c r="E2" s="18"/>
      <c r="F2" s="18"/>
      <c r="G2" s="18"/>
      <c r="H2" s="18"/>
      <c r="I2" s="18"/>
      <c r="J2" s="18"/>
      <c r="K2" s="18"/>
    </row>
    <row r="3" spans="1:11" x14ac:dyDescent="0.3">
      <c r="A3" s="10" t="s">
        <v>177</v>
      </c>
      <c r="B3" s="10">
        <v>120</v>
      </c>
      <c r="C3" s="10">
        <v>370</v>
      </c>
      <c r="D3" s="10">
        <v>88.4</v>
      </c>
      <c r="E3" s="10">
        <v>0.4</v>
      </c>
      <c r="F3" s="10">
        <v>0.2</v>
      </c>
      <c r="G3" s="10">
        <v>0</v>
      </c>
      <c r="H3" s="10">
        <v>20.3</v>
      </c>
      <c r="I3" s="10">
        <v>18.399999999999999</v>
      </c>
      <c r="J3" s="10">
        <v>1.1000000000000001</v>
      </c>
      <c r="K3" s="10">
        <v>20</v>
      </c>
    </row>
    <row r="4" spans="1:11" x14ac:dyDescent="0.3">
      <c r="A4" s="10" t="s">
        <v>178</v>
      </c>
      <c r="B4" s="10">
        <v>120</v>
      </c>
      <c r="C4" s="10">
        <v>340</v>
      </c>
      <c r="D4" s="10">
        <v>81.3</v>
      </c>
      <c r="E4" s="10">
        <v>0.1</v>
      </c>
      <c r="F4" s="10">
        <v>0.4</v>
      </c>
      <c r="G4" s="10">
        <v>0.1</v>
      </c>
      <c r="H4" s="10">
        <v>18.399999999999999</v>
      </c>
      <c r="I4" s="10">
        <v>16.3</v>
      </c>
      <c r="J4" s="10">
        <v>1.6</v>
      </c>
      <c r="K4" s="10">
        <v>5</v>
      </c>
    </row>
    <row r="5" spans="1:11" x14ac:dyDescent="0.3">
      <c r="A5" s="10" t="s">
        <v>179</v>
      </c>
      <c r="B5" s="10">
        <v>120</v>
      </c>
      <c r="C5" s="10">
        <v>340</v>
      </c>
      <c r="D5" s="10">
        <v>81.3</v>
      </c>
      <c r="E5" s="10">
        <v>0.1</v>
      </c>
      <c r="F5" s="10">
        <v>0.4</v>
      </c>
      <c r="G5" s="10">
        <v>0.1</v>
      </c>
      <c r="H5" s="10">
        <v>18.2</v>
      </c>
      <c r="I5" s="10">
        <v>16.100000000000001</v>
      </c>
      <c r="J5" s="10">
        <v>1.4</v>
      </c>
      <c r="K5" s="10">
        <v>5</v>
      </c>
    </row>
    <row r="6" spans="1:11" x14ac:dyDescent="0.3">
      <c r="A6" s="16" t="s">
        <v>180</v>
      </c>
      <c r="B6" s="18"/>
      <c r="C6" s="18"/>
      <c r="D6" s="18"/>
      <c r="E6" s="18"/>
      <c r="F6" s="18"/>
      <c r="G6" s="18"/>
      <c r="H6" s="18"/>
      <c r="I6" s="18"/>
      <c r="J6" s="18"/>
      <c r="K6" s="18"/>
    </row>
    <row r="7" spans="1:11" x14ac:dyDescent="0.3">
      <c r="A7" s="10" t="s">
        <v>181</v>
      </c>
      <c r="B7" s="10">
        <v>69</v>
      </c>
      <c r="C7" s="10">
        <v>814</v>
      </c>
      <c r="D7" s="10">
        <v>195</v>
      </c>
      <c r="E7" s="10">
        <v>7.5</v>
      </c>
      <c r="F7" s="10">
        <v>2.1</v>
      </c>
      <c r="G7" s="10">
        <v>0.3</v>
      </c>
      <c r="H7" s="10">
        <v>35</v>
      </c>
      <c r="I7" s="10">
        <v>2.6</v>
      </c>
      <c r="J7" s="10">
        <v>2.7</v>
      </c>
      <c r="K7" s="10">
        <v>271</v>
      </c>
    </row>
    <row r="8" spans="1:11" x14ac:dyDescent="0.3">
      <c r="A8" s="10" t="s">
        <v>182</v>
      </c>
      <c r="B8" s="10">
        <v>67</v>
      </c>
      <c r="C8" s="10">
        <v>817</v>
      </c>
      <c r="D8" s="10">
        <v>195</v>
      </c>
      <c r="E8" s="10">
        <v>7.4</v>
      </c>
      <c r="F8" s="10">
        <v>2.1</v>
      </c>
      <c r="G8" s="10">
        <v>0.3</v>
      </c>
      <c r="H8" s="10">
        <v>35.200000000000003</v>
      </c>
      <c r="I8" s="10">
        <v>2.7</v>
      </c>
      <c r="J8" s="10">
        <v>1.8</v>
      </c>
      <c r="K8" s="10">
        <v>239</v>
      </c>
    </row>
    <row r="9" spans="1:11" x14ac:dyDescent="0.3">
      <c r="A9" s="10" t="s">
        <v>183</v>
      </c>
      <c r="B9" s="10">
        <v>79</v>
      </c>
      <c r="C9" s="10">
        <v>1020</v>
      </c>
      <c r="D9" s="10">
        <v>244</v>
      </c>
      <c r="E9" s="10">
        <v>10.6</v>
      </c>
      <c r="F9" s="10">
        <v>4.5</v>
      </c>
      <c r="G9" s="10">
        <v>0.7</v>
      </c>
      <c r="H9" s="10">
        <v>37.799999999999997</v>
      </c>
      <c r="I9" s="10">
        <v>2.6</v>
      </c>
      <c r="J9" s="10">
        <v>4.7</v>
      </c>
      <c r="K9" s="10">
        <v>364</v>
      </c>
    </row>
    <row r="10" spans="1:11" x14ac:dyDescent="0.3">
      <c r="A10" s="10" t="s">
        <v>184</v>
      </c>
      <c r="B10" s="10">
        <v>78.400000000000006</v>
      </c>
      <c r="C10" s="10">
        <v>976</v>
      </c>
      <c r="D10" s="10">
        <v>233</v>
      </c>
      <c r="E10" s="10">
        <v>9.4</v>
      </c>
      <c r="F10" s="10">
        <v>4.5</v>
      </c>
      <c r="G10" s="10">
        <v>2</v>
      </c>
      <c r="H10" s="10">
        <v>37.4</v>
      </c>
      <c r="I10" s="10">
        <v>2.8</v>
      </c>
      <c r="J10" s="10">
        <v>2.1</v>
      </c>
      <c r="K10" s="10">
        <v>424</v>
      </c>
    </row>
    <row r="11" spans="1:11" x14ac:dyDescent="0.3">
      <c r="A11" s="10" t="s">
        <v>185</v>
      </c>
      <c r="B11" s="10">
        <v>77.599999999999994</v>
      </c>
      <c r="C11" s="10">
        <v>954</v>
      </c>
      <c r="D11" s="10">
        <v>228</v>
      </c>
      <c r="E11" s="10">
        <v>7.9</v>
      </c>
      <c r="F11" s="10">
        <v>2.2999999999999998</v>
      </c>
      <c r="G11" s="10">
        <v>0.4</v>
      </c>
      <c r="H11" s="10">
        <v>42.2</v>
      </c>
      <c r="I11" s="10">
        <v>5.0999999999999996</v>
      </c>
      <c r="J11" s="10">
        <v>2.1</v>
      </c>
      <c r="K11" s="10">
        <v>867</v>
      </c>
    </row>
    <row r="12" spans="1:11" x14ac:dyDescent="0.3">
      <c r="A12" s="10" t="s">
        <v>186</v>
      </c>
      <c r="B12" s="10">
        <v>46</v>
      </c>
      <c r="C12" s="10">
        <v>542</v>
      </c>
      <c r="D12" s="10">
        <v>130</v>
      </c>
      <c r="E12" s="10">
        <v>5</v>
      </c>
      <c r="F12" s="10">
        <v>1.4</v>
      </c>
      <c r="G12" s="10">
        <v>0.2</v>
      </c>
      <c r="H12" s="10">
        <v>23.3</v>
      </c>
      <c r="I12" s="10">
        <v>1.7</v>
      </c>
      <c r="J12" s="10">
        <v>1.8</v>
      </c>
      <c r="K12" s="10">
        <v>181</v>
      </c>
    </row>
    <row r="13" spans="1:11" x14ac:dyDescent="0.3">
      <c r="A13" s="10" t="s">
        <v>187</v>
      </c>
      <c r="B13" s="10">
        <v>44.7</v>
      </c>
      <c r="C13" s="10">
        <v>545</v>
      </c>
      <c r="D13" s="10">
        <v>130</v>
      </c>
      <c r="E13" s="10">
        <v>5</v>
      </c>
      <c r="F13" s="10">
        <v>1.4</v>
      </c>
      <c r="G13" s="10">
        <v>0.2</v>
      </c>
      <c r="H13" s="10">
        <v>23.5</v>
      </c>
      <c r="I13" s="10">
        <v>1.8</v>
      </c>
      <c r="J13" s="10">
        <v>1.2</v>
      </c>
      <c r="K13" s="10">
        <v>159</v>
      </c>
    </row>
    <row r="14" spans="1:11" x14ac:dyDescent="0.3">
      <c r="A14" s="10" t="s">
        <v>188</v>
      </c>
      <c r="B14" s="10">
        <v>70</v>
      </c>
      <c r="C14" s="10">
        <v>833</v>
      </c>
      <c r="D14" s="10">
        <v>199</v>
      </c>
      <c r="E14" s="10">
        <v>6</v>
      </c>
      <c r="F14" s="10">
        <v>4.8</v>
      </c>
      <c r="G14" s="10">
        <v>0.6</v>
      </c>
      <c r="H14" s="10">
        <v>32.1</v>
      </c>
      <c r="I14" s="10">
        <v>1.7</v>
      </c>
      <c r="J14" s="10">
        <v>6</v>
      </c>
      <c r="K14" s="10">
        <v>259</v>
      </c>
    </row>
    <row r="15" spans="1:11" x14ac:dyDescent="0.3">
      <c r="A15" s="10" t="s">
        <v>189</v>
      </c>
      <c r="B15" s="10">
        <v>85</v>
      </c>
      <c r="C15" s="10">
        <v>876</v>
      </c>
      <c r="D15" s="10">
        <v>209</v>
      </c>
      <c r="E15" s="10">
        <v>4.2</v>
      </c>
      <c r="F15" s="10">
        <v>4.5999999999999996</v>
      </c>
      <c r="G15" s="10">
        <v>0.6</v>
      </c>
      <c r="H15" s="10">
        <v>35.6</v>
      </c>
      <c r="I15" s="10">
        <v>1.4</v>
      </c>
      <c r="J15" s="10">
        <v>3.8</v>
      </c>
      <c r="K15" s="10">
        <v>310</v>
      </c>
    </row>
    <row r="16" spans="1:11" x14ac:dyDescent="0.3">
      <c r="A16" s="16" t="s">
        <v>242</v>
      </c>
      <c r="B16" s="18"/>
      <c r="C16" s="18"/>
      <c r="D16" s="18"/>
      <c r="E16" s="18"/>
      <c r="F16" s="18"/>
      <c r="G16" s="18"/>
      <c r="H16" s="18"/>
      <c r="I16" s="18"/>
      <c r="J16" s="18"/>
      <c r="K16" s="18"/>
    </row>
    <row r="17" spans="1:11" x14ac:dyDescent="0.3">
      <c r="A17" s="10" t="s">
        <v>190</v>
      </c>
      <c r="B17" s="10">
        <v>8.8000000000000007</v>
      </c>
      <c r="C17" s="10">
        <v>187</v>
      </c>
      <c r="D17" s="10">
        <v>44.8</v>
      </c>
      <c r="E17" s="10">
        <v>3.3</v>
      </c>
      <c r="F17" s="10">
        <v>3.3</v>
      </c>
      <c r="G17" s="10">
        <v>1.5</v>
      </c>
      <c r="H17" s="10">
        <v>0.1</v>
      </c>
      <c r="I17" s="10">
        <v>0.1</v>
      </c>
      <c r="J17" s="10">
        <v>0</v>
      </c>
      <c r="K17" s="10">
        <v>198</v>
      </c>
    </row>
    <row r="18" spans="1:11" x14ac:dyDescent="0.3">
      <c r="A18" s="10" t="s">
        <v>121</v>
      </c>
      <c r="B18" s="10">
        <v>85</v>
      </c>
      <c r="C18" s="10">
        <v>351</v>
      </c>
      <c r="D18" s="10">
        <v>83.9</v>
      </c>
      <c r="E18" s="10">
        <v>14.7</v>
      </c>
      <c r="F18" s="10">
        <v>1.8</v>
      </c>
      <c r="G18" s="10">
        <v>0.6</v>
      </c>
      <c r="H18" s="10">
        <v>3.5</v>
      </c>
      <c r="I18" s="10">
        <v>2.8</v>
      </c>
      <c r="J18" s="10">
        <v>1</v>
      </c>
      <c r="K18" s="10">
        <v>850</v>
      </c>
    </row>
    <row r="19" spans="1:11" x14ac:dyDescent="0.3">
      <c r="A19" s="10" t="s">
        <v>123</v>
      </c>
      <c r="B19" s="10">
        <v>60</v>
      </c>
      <c r="C19" s="10">
        <v>529</v>
      </c>
      <c r="D19" s="10">
        <v>126</v>
      </c>
      <c r="E19" s="10">
        <v>9.5</v>
      </c>
      <c r="F19" s="10">
        <v>8</v>
      </c>
      <c r="G19" s="10">
        <v>1.7</v>
      </c>
      <c r="H19" s="10">
        <v>3.3</v>
      </c>
      <c r="I19" s="10">
        <v>0.4</v>
      </c>
      <c r="J19" s="10">
        <v>0</v>
      </c>
      <c r="K19" s="10">
        <v>390</v>
      </c>
    </row>
    <row r="20" spans="1:11" x14ac:dyDescent="0.3">
      <c r="A20" s="10" t="s">
        <v>124</v>
      </c>
      <c r="B20" s="10">
        <v>64</v>
      </c>
      <c r="C20" s="10">
        <v>285</v>
      </c>
      <c r="D20" s="10">
        <v>68.2</v>
      </c>
      <c r="E20" s="10">
        <v>14.4</v>
      </c>
      <c r="F20" s="10">
        <v>1.7</v>
      </c>
      <c r="G20" s="10">
        <v>0.6</v>
      </c>
      <c r="H20" s="10">
        <v>0.6</v>
      </c>
      <c r="I20" s="10">
        <v>0.5</v>
      </c>
      <c r="J20" s="10">
        <v>0.9</v>
      </c>
      <c r="K20" s="10">
        <v>269</v>
      </c>
    </row>
    <row r="21" spans="1:11" x14ac:dyDescent="0.3">
      <c r="A21" s="10" t="s">
        <v>125</v>
      </c>
      <c r="B21" s="10">
        <v>85</v>
      </c>
      <c r="C21" s="10">
        <v>421</v>
      </c>
      <c r="D21" s="10">
        <v>101</v>
      </c>
      <c r="E21" s="10">
        <v>14.5</v>
      </c>
      <c r="F21" s="10">
        <v>1.8</v>
      </c>
      <c r="G21" s="10">
        <v>0.6</v>
      </c>
      <c r="H21" s="10">
        <v>8</v>
      </c>
      <c r="I21" s="10">
        <v>4.8</v>
      </c>
      <c r="J21" s="10">
        <v>0.9</v>
      </c>
      <c r="K21" s="10">
        <v>463</v>
      </c>
    </row>
    <row r="22" spans="1:11" x14ac:dyDescent="0.3">
      <c r="A22" s="10" t="s">
        <v>191</v>
      </c>
      <c r="B22" s="10">
        <v>59</v>
      </c>
      <c r="C22" s="10">
        <v>326</v>
      </c>
      <c r="D22" s="10">
        <v>77.8</v>
      </c>
      <c r="E22" s="10">
        <v>7.5</v>
      </c>
      <c r="F22" s="10">
        <v>5.3</v>
      </c>
      <c r="G22" s="10">
        <v>1.8</v>
      </c>
      <c r="H22" s="10">
        <v>0.2</v>
      </c>
      <c r="I22" s="10">
        <v>0.2</v>
      </c>
      <c r="J22" s="10">
        <v>0</v>
      </c>
      <c r="K22" s="10">
        <v>139</v>
      </c>
    </row>
    <row r="23" spans="1:11" x14ac:dyDescent="0.3">
      <c r="A23" s="10" t="s">
        <v>127</v>
      </c>
      <c r="B23" s="10">
        <v>40</v>
      </c>
      <c r="C23" s="10">
        <v>167</v>
      </c>
      <c r="D23" s="10">
        <v>39.9</v>
      </c>
      <c r="E23" s="10">
        <v>7</v>
      </c>
      <c r="F23" s="10">
        <v>1.2</v>
      </c>
      <c r="G23" s="10">
        <v>0.4</v>
      </c>
      <c r="H23" s="10">
        <v>0.6</v>
      </c>
      <c r="I23" s="10">
        <v>0.6</v>
      </c>
      <c r="J23" s="10">
        <v>0</v>
      </c>
      <c r="K23" s="10">
        <v>440</v>
      </c>
    </row>
    <row r="24" spans="1:11" x14ac:dyDescent="0.3">
      <c r="A24" s="10" t="s">
        <v>192</v>
      </c>
      <c r="B24" s="10">
        <v>125</v>
      </c>
      <c r="C24" s="10">
        <v>654</v>
      </c>
      <c r="D24" s="10">
        <v>156</v>
      </c>
      <c r="E24" s="10">
        <v>10.4</v>
      </c>
      <c r="F24" s="10">
        <v>7.2</v>
      </c>
      <c r="G24" s="10">
        <v>3</v>
      </c>
      <c r="H24" s="10">
        <v>9.8000000000000007</v>
      </c>
      <c r="I24" s="10">
        <v>5.0999999999999996</v>
      </c>
      <c r="J24" s="10">
        <v>1.5</v>
      </c>
      <c r="K24" s="10">
        <v>476</v>
      </c>
    </row>
    <row r="25" spans="1:11" x14ac:dyDescent="0.3">
      <c r="A25" s="10" t="s">
        <v>193</v>
      </c>
      <c r="B25" s="10">
        <v>18</v>
      </c>
      <c r="C25" s="10">
        <v>297</v>
      </c>
      <c r="D25" s="10">
        <v>71</v>
      </c>
      <c r="E25" s="10">
        <v>4.0999999999999996</v>
      </c>
      <c r="F25" s="10">
        <v>5.9</v>
      </c>
      <c r="G25" s="10">
        <v>2.2999999999999998</v>
      </c>
      <c r="H25" s="10">
        <v>0.6</v>
      </c>
      <c r="I25" s="10">
        <v>0.2</v>
      </c>
      <c r="J25" s="10">
        <v>0</v>
      </c>
      <c r="K25" s="10">
        <v>270</v>
      </c>
    </row>
    <row r="26" spans="1:11" x14ac:dyDescent="0.3">
      <c r="A26" s="10" t="s">
        <v>194</v>
      </c>
      <c r="B26" s="10">
        <v>77</v>
      </c>
      <c r="C26" s="10">
        <v>886</v>
      </c>
      <c r="D26" s="10">
        <v>212</v>
      </c>
      <c r="E26" s="10">
        <v>11.4</v>
      </c>
      <c r="F26" s="10">
        <v>17.5</v>
      </c>
      <c r="G26" s="10">
        <v>6.1</v>
      </c>
      <c r="H26" s="10">
        <v>2.2999999999999998</v>
      </c>
      <c r="I26" s="10">
        <v>0.2</v>
      </c>
      <c r="J26" s="10">
        <v>0.9</v>
      </c>
      <c r="K26" s="10">
        <v>601</v>
      </c>
    </row>
    <row r="27" spans="1:11" x14ac:dyDescent="0.3">
      <c r="A27" s="10" t="s">
        <v>131</v>
      </c>
      <c r="B27" s="10">
        <v>48</v>
      </c>
      <c r="C27" s="10">
        <v>229</v>
      </c>
      <c r="D27" s="10">
        <v>54.8</v>
      </c>
      <c r="E27" s="10">
        <v>8.3000000000000007</v>
      </c>
      <c r="F27" s="10">
        <v>1.5</v>
      </c>
      <c r="G27" s="10">
        <v>0.7</v>
      </c>
      <c r="H27" s="10">
        <v>1.2</v>
      </c>
      <c r="I27" s="10">
        <v>1</v>
      </c>
      <c r="J27" s="10">
        <v>0</v>
      </c>
      <c r="K27" s="10">
        <v>261</v>
      </c>
    </row>
    <row r="28" spans="1:11" x14ac:dyDescent="0.3">
      <c r="A28" s="10" t="s">
        <v>195</v>
      </c>
      <c r="B28" s="10">
        <v>18</v>
      </c>
      <c r="C28" s="10">
        <v>297</v>
      </c>
      <c r="D28" s="10">
        <v>71</v>
      </c>
      <c r="E28" s="10">
        <v>4.0999999999999996</v>
      </c>
      <c r="F28" s="10">
        <v>5.9</v>
      </c>
      <c r="G28" s="10">
        <v>2.2999999999999998</v>
      </c>
      <c r="H28" s="10">
        <v>0.6</v>
      </c>
      <c r="I28" s="10">
        <v>0.2</v>
      </c>
      <c r="J28" s="10">
        <v>0</v>
      </c>
      <c r="K28" s="10">
        <v>270</v>
      </c>
    </row>
    <row r="29" spans="1:11" x14ac:dyDescent="0.3">
      <c r="A29" s="10" t="s">
        <v>132</v>
      </c>
      <c r="B29" s="10">
        <v>75</v>
      </c>
      <c r="C29" s="10">
        <v>682</v>
      </c>
      <c r="D29" s="10">
        <v>163</v>
      </c>
      <c r="E29" s="10">
        <v>6.6</v>
      </c>
      <c r="F29" s="10">
        <v>5.9</v>
      </c>
      <c r="G29" s="10">
        <v>1</v>
      </c>
      <c r="H29" s="10">
        <v>17.600000000000001</v>
      </c>
      <c r="I29" s="10">
        <v>3.8</v>
      </c>
      <c r="J29" s="10">
        <v>3.2</v>
      </c>
      <c r="K29" s="10">
        <v>662</v>
      </c>
    </row>
    <row r="30" spans="1:11" x14ac:dyDescent="0.3">
      <c r="A30" s="10" t="s">
        <v>196</v>
      </c>
      <c r="B30" s="10">
        <v>64</v>
      </c>
      <c r="C30" s="10">
        <v>435</v>
      </c>
      <c r="D30" s="10">
        <v>104</v>
      </c>
      <c r="E30" s="10">
        <v>14.5</v>
      </c>
      <c r="F30" s="10">
        <v>4.5</v>
      </c>
      <c r="G30" s="10">
        <v>2</v>
      </c>
      <c r="H30" s="10">
        <v>0.6</v>
      </c>
      <c r="I30" s="10">
        <v>0.5</v>
      </c>
      <c r="J30" s="10">
        <v>0</v>
      </c>
      <c r="K30" s="10">
        <v>358</v>
      </c>
    </row>
    <row r="31" spans="1:11" x14ac:dyDescent="0.3">
      <c r="A31" s="10" t="s">
        <v>134</v>
      </c>
      <c r="B31" s="10">
        <v>105</v>
      </c>
      <c r="C31" s="10">
        <v>899</v>
      </c>
      <c r="D31" s="10">
        <v>215</v>
      </c>
      <c r="E31" s="10">
        <v>20.8</v>
      </c>
      <c r="F31" s="10">
        <v>11.8</v>
      </c>
      <c r="G31" s="10">
        <v>2</v>
      </c>
      <c r="H31" s="10">
        <v>9.5</v>
      </c>
      <c r="I31" s="10">
        <v>0.7</v>
      </c>
      <c r="J31" s="10">
        <v>0</v>
      </c>
      <c r="K31" s="10">
        <v>609</v>
      </c>
    </row>
    <row r="32" spans="1:11" x14ac:dyDescent="0.3">
      <c r="A32" s="10" t="s">
        <v>135</v>
      </c>
      <c r="B32" s="10">
        <v>64</v>
      </c>
      <c r="C32" s="10">
        <v>315</v>
      </c>
      <c r="D32" s="10">
        <v>75.3</v>
      </c>
      <c r="E32" s="10">
        <v>10.199999999999999</v>
      </c>
      <c r="F32" s="10">
        <v>2.2000000000000002</v>
      </c>
      <c r="G32" s="10">
        <v>0.4</v>
      </c>
      <c r="H32" s="10">
        <v>3.6</v>
      </c>
      <c r="I32" s="10">
        <v>2.4</v>
      </c>
      <c r="J32" s="10">
        <v>0</v>
      </c>
      <c r="K32" s="10">
        <v>271</v>
      </c>
    </row>
    <row r="33" spans="1:11" x14ac:dyDescent="0.3">
      <c r="A33" s="10" t="s">
        <v>136</v>
      </c>
      <c r="B33" s="10">
        <v>54</v>
      </c>
      <c r="C33" s="10">
        <v>240</v>
      </c>
      <c r="D33" s="10">
        <v>57.4</v>
      </c>
      <c r="E33" s="10">
        <v>11.4</v>
      </c>
      <c r="F33" s="10">
        <v>0.5</v>
      </c>
      <c r="G33" s="10">
        <v>0.5</v>
      </c>
      <c r="H33" s="10">
        <v>1.5</v>
      </c>
      <c r="I33" s="10">
        <v>0.5</v>
      </c>
      <c r="J33" s="10">
        <v>0</v>
      </c>
      <c r="K33" s="10">
        <v>359</v>
      </c>
    </row>
    <row r="34" spans="1:11" x14ac:dyDescent="0.3">
      <c r="A34" s="10" t="s">
        <v>138</v>
      </c>
      <c r="B34" s="10">
        <v>90</v>
      </c>
      <c r="C34" s="10">
        <v>803</v>
      </c>
      <c r="D34" s="10">
        <v>191.9</v>
      </c>
      <c r="E34" s="10">
        <v>7.6</v>
      </c>
      <c r="F34" s="10">
        <v>9.4</v>
      </c>
      <c r="G34" s="10">
        <v>1.8</v>
      </c>
      <c r="H34" s="10">
        <v>16.5</v>
      </c>
      <c r="I34" s="10">
        <v>2.5</v>
      </c>
      <c r="J34" s="10">
        <v>6.2</v>
      </c>
      <c r="K34" s="10">
        <v>324</v>
      </c>
    </row>
    <row r="35" spans="1:11" x14ac:dyDescent="0.3">
      <c r="A35" s="16" t="s">
        <v>241</v>
      </c>
      <c r="B35" s="18"/>
      <c r="C35" s="18"/>
      <c r="D35" s="18"/>
      <c r="E35" s="18"/>
      <c r="F35" s="18"/>
      <c r="G35" s="18"/>
      <c r="H35" s="18"/>
      <c r="I35" s="18"/>
      <c r="J35" s="18"/>
      <c r="K35" s="18"/>
    </row>
    <row r="36" spans="1:11" x14ac:dyDescent="0.3">
      <c r="A36" s="10" t="s">
        <v>197</v>
      </c>
      <c r="B36" s="10">
        <v>15</v>
      </c>
      <c r="C36" s="10">
        <v>268</v>
      </c>
      <c r="D36" s="10">
        <v>64.2</v>
      </c>
      <c r="E36" s="10">
        <v>0.3</v>
      </c>
      <c r="F36" s="10">
        <v>6.5</v>
      </c>
      <c r="G36" s="10">
        <v>0.6</v>
      </c>
      <c r="H36" s="10">
        <v>1.3</v>
      </c>
      <c r="I36" s="10">
        <v>0.8</v>
      </c>
      <c r="J36" s="10">
        <v>0.1</v>
      </c>
      <c r="K36" s="10">
        <v>180</v>
      </c>
    </row>
    <row r="37" spans="1:11" x14ac:dyDescent="0.3">
      <c r="A37" s="10" t="s">
        <v>198</v>
      </c>
      <c r="B37" s="10">
        <v>21</v>
      </c>
      <c r="C37" s="10">
        <v>389</v>
      </c>
      <c r="D37" s="10">
        <v>92.9</v>
      </c>
      <c r="E37" s="10">
        <v>0.6</v>
      </c>
      <c r="F37" s="10">
        <v>10.1</v>
      </c>
      <c r="G37" s="10">
        <v>1.6</v>
      </c>
      <c r="H37" s="10">
        <v>1.2</v>
      </c>
      <c r="I37" s="10">
        <v>0.9</v>
      </c>
      <c r="J37" s="10">
        <v>0</v>
      </c>
      <c r="K37" s="10">
        <v>134</v>
      </c>
    </row>
    <row r="38" spans="1:11" x14ac:dyDescent="0.3">
      <c r="A38" s="10" t="s">
        <v>199</v>
      </c>
      <c r="B38" s="10">
        <v>21</v>
      </c>
      <c r="C38" s="10">
        <v>246</v>
      </c>
      <c r="D38" s="10">
        <v>58.7</v>
      </c>
      <c r="E38" s="10">
        <v>0.3</v>
      </c>
      <c r="F38" s="10">
        <v>5.8</v>
      </c>
      <c r="G38" s="10">
        <v>0.9</v>
      </c>
      <c r="H38" s="10">
        <v>1.6</v>
      </c>
      <c r="I38" s="10">
        <v>1</v>
      </c>
      <c r="J38" s="10">
        <v>0</v>
      </c>
      <c r="K38" s="10">
        <v>187</v>
      </c>
    </row>
    <row r="39" spans="1:11" x14ac:dyDescent="0.3">
      <c r="A39" s="10" t="s">
        <v>200</v>
      </c>
      <c r="B39" s="10">
        <v>15</v>
      </c>
      <c r="C39" s="10">
        <v>82.5</v>
      </c>
      <c r="D39" s="10">
        <v>19.7</v>
      </c>
      <c r="E39" s="10">
        <v>0.1</v>
      </c>
      <c r="F39" s="10">
        <v>0</v>
      </c>
      <c r="G39" s="10">
        <v>0</v>
      </c>
      <c r="H39" s="10">
        <v>4.5999999999999996</v>
      </c>
      <c r="I39" s="10">
        <v>3.7</v>
      </c>
      <c r="J39" s="10">
        <v>0.1</v>
      </c>
      <c r="K39" s="10">
        <v>320</v>
      </c>
    </row>
    <row r="40" spans="1:11" x14ac:dyDescent="0.3">
      <c r="A40" s="10" t="s">
        <v>201</v>
      </c>
      <c r="B40" s="10">
        <v>21</v>
      </c>
      <c r="C40" s="10">
        <v>124</v>
      </c>
      <c r="D40" s="10">
        <v>29.6</v>
      </c>
      <c r="E40" s="10">
        <v>0.3</v>
      </c>
      <c r="F40" s="10">
        <v>0.3</v>
      </c>
      <c r="G40" s="10">
        <v>0</v>
      </c>
      <c r="H40" s="10">
        <v>6.5</v>
      </c>
      <c r="I40" s="10">
        <v>4.4000000000000004</v>
      </c>
      <c r="J40" s="10">
        <v>0</v>
      </c>
      <c r="K40" s="10">
        <v>94.5</v>
      </c>
    </row>
    <row r="41" spans="1:11" x14ac:dyDescent="0.3">
      <c r="A41" s="10" t="s">
        <v>202</v>
      </c>
      <c r="B41" s="10">
        <v>21</v>
      </c>
      <c r="C41" s="10">
        <v>59.9</v>
      </c>
      <c r="D41" s="10">
        <v>14.3</v>
      </c>
      <c r="E41" s="10">
        <v>0.3</v>
      </c>
      <c r="F41" s="10">
        <v>0.5</v>
      </c>
      <c r="G41" s="10">
        <v>0.1</v>
      </c>
      <c r="H41" s="10">
        <v>1.8</v>
      </c>
      <c r="I41" s="10">
        <v>1.4</v>
      </c>
      <c r="J41" s="10">
        <v>0.5</v>
      </c>
      <c r="K41" s="10">
        <v>70.400000000000006</v>
      </c>
    </row>
    <row r="42" spans="1:11" x14ac:dyDescent="0.3">
      <c r="A42" s="10" t="s">
        <v>203</v>
      </c>
      <c r="B42" s="10">
        <v>15</v>
      </c>
      <c r="C42" s="10">
        <v>86.1</v>
      </c>
      <c r="D42" s="10">
        <v>20.6</v>
      </c>
      <c r="E42" s="10">
        <v>0.1</v>
      </c>
      <c r="F42" s="10">
        <v>1.2</v>
      </c>
      <c r="G42" s="10">
        <v>0.2</v>
      </c>
      <c r="H42" s="10">
        <v>2.2999999999999998</v>
      </c>
      <c r="I42" s="10">
        <v>1.5</v>
      </c>
      <c r="J42" s="10">
        <v>0</v>
      </c>
      <c r="K42" s="10">
        <v>79.5</v>
      </c>
    </row>
    <row r="43" spans="1:11" x14ac:dyDescent="0.3">
      <c r="A43" s="10" t="s">
        <v>204</v>
      </c>
      <c r="B43" s="10">
        <v>21</v>
      </c>
      <c r="C43" s="10">
        <v>386</v>
      </c>
      <c r="D43" s="10">
        <v>92.4</v>
      </c>
      <c r="E43" s="10">
        <v>0.3</v>
      </c>
      <c r="F43" s="10">
        <v>9.6999999999999993</v>
      </c>
      <c r="G43" s="10">
        <v>1.6</v>
      </c>
      <c r="H43" s="10">
        <v>1.3</v>
      </c>
      <c r="I43" s="10">
        <v>0.8</v>
      </c>
      <c r="J43" s="10">
        <v>0.1</v>
      </c>
      <c r="K43" s="10">
        <v>202</v>
      </c>
    </row>
    <row r="44" spans="1:11" x14ac:dyDescent="0.3">
      <c r="A44" s="10" t="s">
        <v>205</v>
      </c>
      <c r="B44" s="10">
        <v>21</v>
      </c>
      <c r="C44" s="10">
        <v>131</v>
      </c>
      <c r="D44" s="10">
        <v>31.3</v>
      </c>
      <c r="E44" s="10">
        <v>0.2</v>
      </c>
      <c r="F44" s="10">
        <v>0.2</v>
      </c>
      <c r="G44" s="10">
        <v>0.2</v>
      </c>
      <c r="H44" s="10">
        <v>7.5</v>
      </c>
      <c r="I44" s="10">
        <v>5.7</v>
      </c>
      <c r="J44" s="10">
        <v>0.2</v>
      </c>
      <c r="K44" s="10">
        <v>172</v>
      </c>
    </row>
    <row r="45" spans="1:11" x14ac:dyDescent="0.3">
      <c r="A45" s="10" t="s">
        <v>206</v>
      </c>
      <c r="B45" s="10">
        <v>15</v>
      </c>
      <c r="C45" s="10">
        <v>157</v>
      </c>
      <c r="D45" s="10">
        <v>37.6</v>
      </c>
      <c r="E45" s="10">
        <v>0.2</v>
      </c>
      <c r="F45" s="10">
        <v>7.4</v>
      </c>
      <c r="G45" s="10">
        <v>0.6</v>
      </c>
      <c r="H45" s="10">
        <v>1.7</v>
      </c>
      <c r="I45" s="10">
        <v>1.4</v>
      </c>
      <c r="J45" s="10">
        <v>0.1</v>
      </c>
      <c r="K45" s="10">
        <v>153</v>
      </c>
    </row>
    <row r="46" spans="1:11" x14ac:dyDescent="0.3">
      <c r="A46" s="10" t="s">
        <v>207</v>
      </c>
      <c r="B46" s="10">
        <v>21</v>
      </c>
      <c r="C46" s="10">
        <v>165</v>
      </c>
      <c r="D46" s="10">
        <v>39.5</v>
      </c>
      <c r="E46" s="10">
        <v>0</v>
      </c>
      <c r="F46" s="10">
        <v>0.1</v>
      </c>
      <c r="G46" s="10">
        <v>0</v>
      </c>
      <c r="H46" s="10">
        <v>9.6</v>
      </c>
      <c r="I46" s="10">
        <v>9.1</v>
      </c>
      <c r="J46" s="10">
        <v>0</v>
      </c>
      <c r="K46" s="10">
        <v>185</v>
      </c>
    </row>
    <row r="47" spans="1:11" x14ac:dyDescent="0.3">
      <c r="A47" s="10" t="s">
        <v>208</v>
      </c>
      <c r="B47" s="10">
        <v>21</v>
      </c>
      <c r="C47" s="10">
        <v>155</v>
      </c>
      <c r="D47" s="10">
        <v>38.6</v>
      </c>
      <c r="E47" s="10">
        <v>0.1</v>
      </c>
      <c r="F47" s="10">
        <v>0.1</v>
      </c>
      <c r="G47" s="10">
        <v>0</v>
      </c>
      <c r="H47" s="10">
        <v>9.1</v>
      </c>
      <c r="I47" s="10">
        <v>7.9</v>
      </c>
      <c r="J47" s="10">
        <v>0.1</v>
      </c>
      <c r="K47" s="10">
        <v>73.5</v>
      </c>
    </row>
    <row r="48" spans="1:11" x14ac:dyDescent="0.3">
      <c r="A48" s="16" t="s">
        <v>240</v>
      </c>
      <c r="B48" s="18"/>
      <c r="C48" s="18"/>
      <c r="D48" s="18"/>
      <c r="E48" s="18"/>
      <c r="F48" s="18"/>
      <c r="G48" s="18"/>
      <c r="H48" s="18"/>
      <c r="I48" s="18"/>
      <c r="J48" s="18"/>
      <c r="K48" s="18"/>
    </row>
    <row r="49" spans="1:11" x14ac:dyDescent="0.3">
      <c r="A49" s="10" t="s">
        <v>209</v>
      </c>
      <c r="B49" s="10">
        <v>11.3</v>
      </c>
      <c r="C49" s="10">
        <v>162</v>
      </c>
      <c r="D49" s="10">
        <v>38.6</v>
      </c>
      <c r="E49" s="10">
        <v>2.2999999999999998</v>
      </c>
      <c r="F49" s="10">
        <v>3.1</v>
      </c>
      <c r="G49" s="10">
        <v>2</v>
      </c>
      <c r="H49" s="10">
        <v>0.5</v>
      </c>
      <c r="I49" s="10">
        <v>0.2</v>
      </c>
      <c r="J49" s="10">
        <v>0</v>
      </c>
      <c r="K49" s="10">
        <v>136</v>
      </c>
    </row>
    <row r="50" spans="1:11" x14ac:dyDescent="0.3">
      <c r="A50" s="10" t="s">
        <v>210</v>
      </c>
      <c r="B50" s="10">
        <v>14.2</v>
      </c>
      <c r="C50" s="10">
        <v>171</v>
      </c>
      <c r="D50" s="10">
        <v>40.9</v>
      </c>
      <c r="E50" s="10">
        <v>3.8</v>
      </c>
      <c r="F50" s="10">
        <v>2.8</v>
      </c>
      <c r="G50" s="10">
        <v>2</v>
      </c>
      <c r="H50" s="10">
        <v>0</v>
      </c>
      <c r="I50" s="10">
        <v>0</v>
      </c>
      <c r="J50" s="10">
        <v>0</v>
      </c>
      <c r="K50" s="10">
        <v>69.599999999999994</v>
      </c>
    </row>
    <row r="51" spans="1:11" x14ac:dyDescent="0.3">
      <c r="A51" s="10" t="s">
        <v>211</v>
      </c>
      <c r="B51" s="10">
        <v>11.3</v>
      </c>
      <c r="C51" s="10">
        <v>159</v>
      </c>
      <c r="D51" s="10">
        <v>38.1</v>
      </c>
      <c r="E51" s="10">
        <v>2.2999999999999998</v>
      </c>
      <c r="F51" s="10">
        <v>3</v>
      </c>
      <c r="G51" s="10">
        <v>2.1</v>
      </c>
      <c r="H51" s="10">
        <v>0.6</v>
      </c>
      <c r="I51" s="10">
        <v>0.3</v>
      </c>
      <c r="J51" s="10">
        <v>0</v>
      </c>
      <c r="K51" s="10">
        <v>215</v>
      </c>
    </row>
    <row r="52" spans="1:11" x14ac:dyDescent="0.3">
      <c r="A52" s="16" t="s">
        <v>239</v>
      </c>
      <c r="B52" s="18"/>
      <c r="C52" s="18"/>
      <c r="D52" s="18"/>
      <c r="E52" s="18"/>
      <c r="F52" s="18"/>
      <c r="G52" s="18"/>
      <c r="H52" s="18"/>
      <c r="I52" s="18"/>
      <c r="J52" s="18"/>
      <c r="K52" s="18"/>
    </row>
    <row r="53" spans="1:11" x14ac:dyDescent="0.3">
      <c r="A53" s="10" t="s">
        <v>212</v>
      </c>
      <c r="B53" s="10">
        <v>35</v>
      </c>
      <c r="C53" s="10">
        <v>244</v>
      </c>
      <c r="D53" s="10">
        <v>58.3</v>
      </c>
      <c r="E53" s="10">
        <v>1.2</v>
      </c>
      <c r="F53" s="10">
        <v>5.3</v>
      </c>
      <c r="G53" s="10">
        <v>0.6</v>
      </c>
      <c r="H53" s="10">
        <v>3.5</v>
      </c>
      <c r="I53" s="10">
        <v>0</v>
      </c>
      <c r="J53" s="10">
        <v>0</v>
      </c>
      <c r="K53" s="10">
        <v>0</v>
      </c>
    </row>
    <row r="54" spans="1:11" x14ac:dyDescent="0.3">
      <c r="A54" s="10" t="s">
        <v>213</v>
      </c>
      <c r="B54" s="10">
        <v>21</v>
      </c>
      <c r="C54" s="10">
        <v>49.3</v>
      </c>
      <c r="D54" s="10">
        <v>11.8</v>
      </c>
      <c r="E54" s="10">
        <v>0.2</v>
      </c>
      <c r="F54" s="10">
        <v>0</v>
      </c>
      <c r="G54" s="10">
        <v>0</v>
      </c>
      <c r="H54" s="10">
        <v>2.5</v>
      </c>
      <c r="I54" s="10">
        <v>2.2999999999999998</v>
      </c>
      <c r="J54" s="10">
        <v>0.5</v>
      </c>
      <c r="K54" s="10">
        <v>52.5</v>
      </c>
    </row>
    <row r="55" spans="1:11" x14ac:dyDescent="0.3">
      <c r="A55" s="10" t="s">
        <v>214</v>
      </c>
      <c r="B55" s="10">
        <v>7</v>
      </c>
      <c r="C55" s="10">
        <v>5.9</v>
      </c>
      <c r="D55" s="10">
        <v>1.4</v>
      </c>
      <c r="E55" s="10">
        <v>0.1</v>
      </c>
      <c r="F55" s="10">
        <v>0</v>
      </c>
      <c r="G55" s="10">
        <v>0</v>
      </c>
      <c r="H55" s="10">
        <v>0.2</v>
      </c>
      <c r="I55" s="10">
        <v>0.2</v>
      </c>
      <c r="J55" s="10">
        <v>0.1</v>
      </c>
      <c r="K55" s="10">
        <v>0.2</v>
      </c>
    </row>
    <row r="56" spans="1:11" x14ac:dyDescent="0.3">
      <c r="A56" s="10" t="s">
        <v>215</v>
      </c>
      <c r="B56" s="10">
        <v>7</v>
      </c>
      <c r="C56" s="10">
        <v>12</v>
      </c>
      <c r="D56" s="10">
        <v>2.9</v>
      </c>
      <c r="E56" s="10">
        <v>0.1</v>
      </c>
      <c r="F56" s="10">
        <v>0</v>
      </c>
      <c r="G56" s="10">
        <v>0</v>
      </c>
      <c r="H56" s="10">
        <v>0.5</v>
      </c>
      <c r="I56" s="10">
        <v>0.3</v>
      </c>
      <c r="J56" s="10">
        <v>0.2</v>
      </c>
      <c r="K56" s="10">
        <v>4.8</v>
      </c>
    </row>
    <row r="57" spans="1:11" x14ac:dyDescent="0.3">
      <c r="A57" s="10" t="s">
        <v>216</v>
      </c>
      <c r="B57" s="10">
        <v>14</v>
      </c>
      <c r="C57" s="10">
        <v>8.8000000000000007</v>
      </c>
      <c r="D57" s="10">
        <v>2.1</v>
      </c>
      <c r="E57" s="10">
        <v>0.1</v>
      </c>
      <c r="F57" s="10">
        <v>0</v>
      </c>
      <c r="G57" s="10">
        <v>0</v>
      </c>
      <c r="H57" s="10">
        <v>0.4</v>
      </c>
      <c r="I57" s="10">
        <v>0.2</v>
      </c>
      <c r="J57" s="10">
        <v>0.1</v>
      </c>
      <c r="K57" s="10">
        <v>0.3</v>
      </c>
    </row>
    <row r="58" spans="1:11" x14ac:dyDescent="0.3">
      <c r="A58" s="10" t="s">
        <v>217</v>
      </c>
      <c r="B58" s="10">
        <v>4</v>
      </c>
      <c r="C58" s="10">
        <v>6.7</v>
      </c>
      <c r="D58" s="10">
        <v>1.6</v>
      </c>
      <c r="E58" s="10">
        <v>0.1</v>
      </c>
      <c r="F58" s="10">
        <v>0</v>
      </c>
      <c r="G58" s="10">
        <v>0</v>
      </c>
      <c r="H58" s="10">
        <v>0.2</v>
      </c>
      <c r="I58" s="10">
        <v>0.2</v>
      </c>
      <c r="J58" s="10">
        <v>0.1</v>
      </c>
      <c r="K58" s="10">
        <v>67.599999999999994</v>
      </c>
    </row>
    <row r="59" spans="1:11" x14ac:dyDescent="0.3">
      <c r="A59" s="10" t="s">
        <v>218</v>
      </c>
      <c r="B59" s="10">
        <v>21</v>
      </c>
      <c r="C59" s="10">
        <v>12.3</v>
      </c>
      <c r="D59" s="10">
        <v>2.9</v>
      </c>
      <c r="E59" s="10">
        <v>0.2</v>
      </c>
      <c r="F59" s="10">
        <v>0</v>
      </c>
      <c r="G59" s="10">
        <v>0</v>
      </c>
      <c r="H59" s="10">
        <v>0.4</v>
      </c>
      <c r="I59" s="10">
        <v>0.4</v>
      </c>
      <c r="J59" s="10">
        <v>0.3</v>
      </c>
      <c r="K59" s="10">
        <v>2.1</v>
      </c>
    </row>
    <row r="60" spans="1:11" x14ac:dyDescent="0.3">
      <c r="A60" s="10" t="s">
        <v>219</v>
      </c>
      <c r="B60" s="10">
        <v>7</v>
      </c>
      <c r="C60" s="10">
        <v>11.7</v>
      </c>
      <c r="D60" s="10">
        <v>2.8</v>
      </c>
      <c r="E60" s="10">
        <v>0.1</v>
      </c>
      <c r="F60" s="10">
        <v>0</v>
      </c>
      <c r="G60" s="10">
        <v>0</v>
      </c>
      <c r="H60" s="10">
        <v>0.5</v>
      </c>
      <c r="I60" s="10">
        <v>0.3</v>
      </c>
      <c r="J60" s="10">
        <v>0.1</v>
      </c>
      <c r="K60" s="10">
        <v>0.3</v>
      </c>
    </row>
    <row r="61" spans="1:11" x14ac:dyDescent="0.3">
      <c r="A61" s="10" t="s">
        <v>220</v>
      </c>
      <c r="B61" s="10">
        <v>3</v>
      </c>
      <c r="C61" s="10">
        <v>16.100000000000001</v>
      </c>
      <c r="D61" s="10">
        <v>3.8</v>
      </c>
      <c r="E61" s="10">
        <v>0</v>
      </c>
      <c r="F61" s="10">
        <v>0.3</v>
      </c>
      <c r="G61" s="10">
        <v>0.1</v>
      </c>
      <c r="H61" s="10">
        <v>0.2</v>
      </c>
      <c r="I61" s="10">
        <v>0</v>
      </c>
      <c r="J61" s="10">
        <v>0.1</v>
      </c>
      <c r="K61" s="10">
        <v>26.4</v>
      </c>
    </row>
    <row r="62" spans="1:11" x14ac:dyDescent="0.3">
      <c r="A62" s="10" t="s">
        <v>221</v>
      </c>
      <c r="B62" s="10">
        <v>9.5</v>
      </c>
      <c r="C62" s="10">
        <v>5.9</v>
      </c>
      <c r="D62" s="10">
        <v>1.4</v>
      </c>
      <c r="E62" s="10">
        <v>0</v>
      </c>
      <c r="F62" s="10">
        <v>0</v>
      </c>
      <c r="G62" s="10">
        <v>0</v>
      </c>
      <c r="H62" s="10">
        <v>0.2</v>
      </c>
      <c r="I62" s="10">
        <v>0</v>
      </c>
      <c r="J62" s="10">
        <v>0.1</v>
      </c>
      <c r="K62" s="10">
        <v>114</v>
      </c>
    </row>
    <row r="63" spans="1:11" x14ac:dyDescent="0.3">
      <c r="A63" s="10" t="s">
        <v>222</v>
      </c>
      <c r="B63" s="10">
        <v>20</v>
      </c>
      <c r="C63" s="10">
        <v>50.2</v>
      </c>
      <c r="D63" s="10">
        <v>12</v>
      </c>
      <c r="E63" s="10">
        <v>0.1</v>
      </c>
      <c r="F63" s="10">
        <v>0</v>
      </c>
      <c r="G63" s="10">
        <v>0</v>
      </c>
      <c r="H63" s="10">
        <v>3.6</v>
      </c>
      <c r="I63" s="10">
        <v>3.2</v>
      </c>
      <c r="J63" s="10">
        <v>0.2</v>
      </c>
      <c r="K63" s="10">
        <v>1.5</v>
      </c>
    </row>
    <row r="64" spans="1:11" x14ac:dyDescent="0.3">
      <c r="A64" s="10" t="s">
        <v>223</v>
      </c>
      <c r="B64" s="10">
        <v>7</v>
      </c>
      <c r="C64" s="10">
        <v>6.4</v>
      </c>
      <c r="D64" s="10">
        <v>1.5</v>
      </c>
      <c r="E64" s="10">
        <v>0.2</v>
      </c>
      <c r="F64" s="10">
        <v>0</v>
      </c>
      <c r="G64" s="10">
        <v>0</v>
      </c>
      <c r="H64" s="10">
        <v>0.2</v>
      </c>
      <c r="I64" s="10">
        <v>0</v>
      </c>
      <c r="J64" s="10">
        <v>0.2</v>
      </c>
      <c r="K64" s="10">
        <v>5.5</v>
      </c>
    </row>
    <row r="65" spans="1:11" x14ac:dyDescent="0.3">
      <c r="A65" s="10" t="s">
        <v>224</v>
      </c>
      <c r="B65" s="10">
        <v>35</v>
      </c>
      <c r="C65" s="10">
        <v>26.4</v>
      </c>
      <c r="D65" s="10">
        <v>6.3</v>
      </c>
      <c r="E65" s="10">
        <v>0.3</v>
      </c>
      <c r="F65" s="10">
        <v>0.1</v>
      </c>
      <c r="G65" s="10">
        <v>0</v>
      </c>
      <c r="H65" s="10">
        <v>0.9</v>
      </c>
      <c r="I65" s="10">
        <v>0.9</v>
      </c>
      <c r="J65" s="10">
        <v>0.4</v>
      </c>
      <c r="K65" s="10">
        <v>1.8</v>
      </c>
    </row>
    <row r="66" spans="1:11" x14ac:dyDescent="0.3">
      <c r="A66" s="16" t="s">
        <v>238</v>
      </c>
      <c r="B66" s="18"/>
      <c r="C66" s="18"/>
      <c r="D66" s="18"/>
      <c r="E66" s="18"/>
      <c r="F66" s="18"/>
      <c r="G66" s="18"/>
      <c r="H66" s="18"/>
      <c r="I66" s="18"/>
      <c r="J66" s="18"/>
      <c r="K66" s="18"/>
    </row>
    <row r="67" spans="1:11" x14ac:dyDescent="0.3">
      <c r="A67" s="10" t="s">
        <v>225</v>
      </c>
      <c r="B67" s="10">
        <v>1</v>
      </c>
      <c r="C67" s="10">
        <v>12.1</v>
      </c>
      <c r="D67" s="10">
        <v>2.9</v>
      </c>
      <c r="E67" s="10">
        <v>0.1</v>
      </c>
      <c r="F67" s="10">
        <v>0</v>
      </c>
      <c r="G67" s="10">
        <v>0</v>
      </c>
      <c r="H67" s="10">
        <v>0.4</v>
      </c>
      <c r="I67" s="10">
        <v>0</v>
      </c>
      <c r="J67" s="10">
        <v>0</v>
      </c>
      <c r="K67" s="10">
        <v>0.3</v>
      </c>
    </row>
    <row r="68" spans="1:11" x14ac:dyDescent="0.3">
      <c r="A68" s="10" t="s">
        <v>226</v>
      </c>
      <c r="B68" s="10">
        <v>1</v>
      </c>
      <c r="C68" s="10">
        <v>0</v>
      </c>
      <c r="D68" s="10">
        <v>0</v>
      </c>
      <c r="E68" s="10">
        <v>0</v>
      </c>
      <c r="F68" s="10">
        <v>0</v>
      </c>
      <c r="G68" s="10">
        <v>0</v>
      </c>
      <c r="H68" s="10">
        <v>0</v>
      </c>
      <c r="I68" s="10">
        <v>0</v>
      </c>
      <c r="J68" s="10">
        <v>0</v>
      </c>
      <c r="K68" s="10">
        <v>391</v>
      </c>
    </row>
    <row r="69" spans="1:11" x14ac:dyDescent="0.3">
      <c r="A69" s="16" t="s">
        <v>227</v>
      </c>
      <c r="B69" s="18"/>
      <c r="C69" s="18"/>
      <c r="D69" s="18"/>
      <c r="E69" s="18"/>
      <c r="F69" s="18"/>
      <c r="G69" s="18"/>
      <c r="H69" s="18"/>
      <c r="I69" s="18"/>
      <c r="J69" s="18"/>
      <c r="K69" s="18"/>
    </row>
    <row r="70" spans="1:11" x14ac:dyDescent="0.3">
      <c r="A70" s="10" t="s">
        <v>228</v>
      </c>
      <c r="B70" s="10">
        <v>425</v>
      </c>
      <c r="C70" s="10">
        <v>931</v>
      </c>
      <c r="D70" s="10">
        <v>223</v>
      </c>
      <c r="E70" s="10">
        <v>2.1</v>
      </c>
      <c r="F70" s="10">
        <v>0.6</v>
      </c>
      <c r="G70" s="10">
        <v>0.2</v>
      </c>
      <c r="H70" s="10">
        <v>55.7</v>
      </c>
      <c r="I70" s="10">
        <v>38.6</v>
      </c>
      <c r="J70" s="10">
        <v>4</v>
      </c>
      <c r="K70" s="10">
        <v>2</v>
      </c>
    </row>
    <row r="71" spans="1:11" x14ac:dyDescent="0.3">
      <c r="A71" s="10" t="s">
        <v>229</v>
      </c>
      <c r="B71" s="10">
        <v>425</v>
      </c>
      <c r="C71" s="10">
        <v>785</v>
      </c>
      <c r="D71" s="10">
        <v>188</v>
      </c>
      <c r="E71" s="10">
        <v>2.2000000000000002</v>
      </c>
      <c r="F71" s="10">
        <v>0.6</v>
      </c>
      <c r="G71" s="10">
        <v>0.2</v>
      </c>
      <c r="H71" s="10">
        <v>46.6</v>
      </c>
      <c r="I71" s="10">
        <v>24.2</v>
      </c>
      <c r="J71" s="10">
        <v>4.2</v>
      </c>
      <c r="K71" s="10">
        <v>26</v>
      </c>
    </row>
    <row r="72" spans="1:11" x14ac:dyDescent="0.3">
      <c r="A72" s="10" t="s">
        <v>230</v>
      </c>
      <c r="B72" s="10">
        <v>425</v>
      </c>
      <c r="C72" s="10">
        <v>846</v>
      </c>
      <c r="D72" s="10">
        <v>202</v>
      </c>
      <c r="E72" s="10">
        <v>1.6</v>
      </c>
      <c r="F72" s="10">
        <v>0.4</v>
      </c>
      <c r="G72" s="10">
        <v>0.2</v>
      </c>
      <c r="H72" s="10">
        <v>50.6</v>
      </c>
      <c r="I72" s="10">
        <v>35.4</v>
      </c>
      <c r="J72" s="10">
        <v>3.3</v>
      </c>
      <c r="K72" s="10">
        <v>2</v>
      </c>
    </row>
    <row r="73" spans="1:11" x14ac:dyDescent="0.3">
      <c r="A73" s="16" t="s">
        <v>236</v>
      </c>
      <c r="B73" s="18"/>
      <c r="C73" s="18"/>
      <c r="D73" s="18"/>
      <c r="E73" s="18"/>
      <c r="F73" s="18"/>
      <c r="G73" s="18"/>
      <c r="H73" s="18"/>
      <c r="I73" s="18"/>
      <c r="J73" s="18"/>
      <c r="K73" s="18"/>
    </row>
    <row r="74" spans="1:11" x14ac:dyDescent="0.3">
      <c r="A74" s="74" t="s">
        <v>231</v>
      </c>
      <c r="B74" s="10">
        <v>208</v>
      </c>
      <c r="C74" s="10">
        <v>1920</v>
      </c>
      <c r="D74" s="10">
        <v>460</v>
      </c>
      <c r="E74" s="10">
        <v>24.1</v>
      </c>
      <c r="F74" s="10">
        <v>14.9</v>
      </c>
      <c r="G74" s="10">
        <v>6.2</v>
      </c>
      <c r="H74" s="10">
        <v>56</v>
      </c>
      <c r="I74" s="10">
        <v>15.6</v>
      </c>
      <c r="J74" s="10">
        <v>3</v>
      </c>
      <c r="K74" s="10">
        <v>1330</v>
      </c>
    </row>
    <row r="75" spans="1:11" x14ac:dyDescent="0.3">
      <c r="A75" s="75" t="s">
        <v>235</v>
      </c>
    </row>
    <row r="76" spans="1:11" x14ac:dyDescent="0.3">
      <c r="A76" s="76" t="s">
        <v>232</v>
      </c>
      <c r="B76" s="76">
        <v>205</v>
      </c>
      <c r="C76" s="76">
        <v>2140</v>
      </c>
      <c r="D76" s="76">
        <v>512</v>
      </c>
      <c r="E76" s="76">
        <v>27.8</v>
      </c>
      <c r="F76" s="76">
        <v>26.2</v>
      </c>
      <c r="G76" s="76">
        <v>8.4</v>
      </c>
      <c r="H76" s="76">
        <v>48.7</v>
      </c>
      <c r="I76" s="76">
        <v>11.7</v>
      </c>
      <c r="J76" s="76">
        <v>2.5</v>
      </c>
      <c r="K76" s="76">
        <v>1410</v>
      </c>
    </row>
    <row r="77" spans="1:11" ht="31" x14ac:dyDescent="0.3">
      <c r="A77" s="77" t="s">
        <v>237</v>
      </c>
      <c r="B77" s="78"/>
      <c r="C77" s="78"/>
      <c r="D77" s="78"/>
      <c r="E77" s="78"/>
      <c r="F77" s="78"/>
      <c r="G77" s="78"/>
      <c r="H77" s="78"/>
      <c r="I77" s="78"/>
      <c r="J77" s="78"/>
      <c r="K77" s="78"/>
    </row>
    <row r="78" spans="1:11" x14ac:dyDescent="0.3">
      <c r="A78" s="10" t="s">
        <v>233</v>
      </c>
      <c r="B78" s="10">
        <v>64</v>
      </c>
      <c r="C78" s="10">
        <v>774</v>
      </c>
      <c r="D78" s="10">
        <v>185</v>
      </c>
      <c r="E78" s="10">
        <v>14.2</v>
      </c>
      <c r="F78" s="10">
        <v>10.1</v>
      </c>
      <c r="G78" s="10">
        <v>4</v>
      </c>
      <c r="H78" s="10">
        <v>9.6</v>
      </c>
      <c r="I78" s="10">
        <v>6</v>
      </c>
      <c r="J78" s="10">
        <v>0</v>
      </c>
      <c r="K78" s="10">
        <v>612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6FB73A-B86A-4746-A878-D2FD150BD571}">
  <sheetPr codeName="Sheet6"/>
  <dimension ref="A1:K30"/>
  <sheetViews>
    <sheetView zoomScale="101" zoomScaleNormal="115" workbookViewId="0">
      <selection activeCell="A3" sqref="A3"/>
    </sheetView>
  </sheetViews>
  <sheetFormatPr defaultRowHeight="13" x14ac:dyDescent="0.3"/>
  <cols>
    <col min="1" max="2" width="29.8984375" bestFit="1" customWidth="1"/>
    <col min="3" max="3" width="14.296875" bestFit="1" customWidth="1"/>
    <col min="4" max="4" width="15.59765625" customWidth="1"/>
    <col min="5" max="5" width="13.296875" customWidth="1"/>
    <col min="6" max="6" width="15.3984375" customWidth="1"/>
    <col min="7" max="7" width="13.3984375" customWidth="1"/>
    <col min="8" max="8" width="20.59765625" customWidth="1"/>
    <col min="9" max="9" width="12.5" customWidth="1"/>
    <col min="10" max="10" width="18.796875" customWidth="1"/>
    <col min="11" max="11" width="15.5" customWidth="1"/>
  </cols>
  <sheetData>
    <row r="1" spans="1:11" ht="15.5" x14ac:dyDescent="0.3">
      <c r="A1" s="13" t="s">
        <v>243</v>
      </c>
      <c r="B1" s="13" t="s">
        <v>157</v>
      </c>
      <c r="C1" s="13" t="s">
        <v>158</v>
      </c>
      <c r="D1" s="13" t="s">
        <v>159</v>
      </c>
      <c r="E1" s="13" t="s">
        <v>160</v>
      </c>
      <c r="F1" s="13" t="s">
        <v>161</v>
      </c>
      <c r="G1" s="13" t="s">
        <v>162</v>
      </c>
      <c r="H1" s="13" t="s">
        <v>163</v>
      </c>
      <c r="I1" s="13" t="s">
        <v>164</v>
      </c>
      <c r="J1" s="13" t="s">
        <v>165</v>
      </c>
      <c r="K1" s="13" t="s">
        <v>166</v>
      </c>
    </row>
    <row r="2" spans="1:11" ht="15.5" x14ac:dyDescent="0.3">
      <c r="A2" s="10" t="s">
        <v>272</v>
      </c>
      <c r="B2" s="10">
        <v>69</v>
      </c>
      <c r="C2" s="23">
        <v>814</v>
      </c>
      <c r="D2" s="23">
        <v>195</v>
      </c>
      <c r="E2" s="23">
        <v>7.5</v>
      </c>
      <c r="F2" s="23">
        <v>2.1</v>
      </c>
      <c r="G2" s="23">
        <v>0.3</v>
      </c>
      <c r="H2" s="23">
        <v>35</v>
      </c>
      <c r="I2" s="23">
        <v>2.6</v>
      </c>
      <c r="J2" s="23">
        <v>2.7</v>
      </c>
      <c r="K2" s="23">
        <v>271</v>
      </c>
    </row>
    <row r="3" spans="1:11" ht="15.5" x14ac:dyDescent="0.3">
      <c r="A3" s="10" t="s">
        <v>271</v>
      </c>
      <c r="B3" s="10">
        <v>67</v>
      </c>
      <c r="C3" s="23">
        <v>817</v>
      </c>
      <c r="D3" s="23">
        <v>195</v>
      </c>
      <c r="E3" s="23">
        <v>7.4</v>
      </c>
      <c r="F3" s="23">
        <v>2.1</v>
      </c>
      <c r="G3" s="23">
        <v>0.3</v>
      </c>
      <c r="H3" s="23">
        <v>35.200000000000003</v>
      </c>
      <c r="I3" s="23">
        <v>2.7</v>
      </c>
      <c r="J3" s="23">
        <v>1.8</v>
      </c>
      <c r="K3" s="23">
        <v>239</v>
      </c>
    </row>
    <row r="4" spans="1:11" ht="15.5" x14ac:dyDescent="0.3">
      <c r="A4" s="10" t="s">
        <v>273</v>
      </c>
      <c r="B4" s="10">
        <v>79</v>
      </c>
      <c r="C4" s="23">
        <v>1020</v>
      </c>
      <c r="D4" s="23">
        <v>244</v>
      </c>
      <c r="E4" s="23">
        <v>10.6</v>
      </c>
      <c r="F4" s="23">
        <v>4.5</v>
      </c>
      <c r="G4" s="23">
        <v>0.7</v>
      </c>
      <c r="H4" s="23">
        <v>37.799999999999997</v>
      </c>
      <c r="I4" s="23">
        <v>2.6</v>
      </c>
      <c r="J4" s="23">
        <v>4.7</v>
      </c>
      <c r="K4" s="23">
        <v>364</v>
      </c>
    </row>
    <row r="5" spans="1:11" ht="15.5" x14ac:dyDescent="0.3">
      <c r="A5" s="10" t="s">
        <v>274</v>
      </c>
      <c r="B5" s="10">
        <v>78.400000000000006</v>
      </c>
      <c r="C5" s="23">
        <v>976</v>
      </c>
      <c r="D5" s="23">
        <v>233</v>
      </c>
      <c r="E5" s="23">
        <v>9.4</v>
      </c>
      <c r="F5" s="23">
        <v>4.5</v>
      </c>
      <c r="G5" s="23">
        <v>2</v>
      </c>
      <c r="H5" s="23">
        <v>37.4</v>
      </c>
      <c r="I5" s="23">
        <v>2.8</v>
      </c>
      <c r="J5" s="23">
        <v>2.1</v>
      </c>
      <c r="K5" s="23">
        <v>424</v>
      </c>
    </row>
    <row r="6" spans="1:11" ht="15.5" x14ac:dyDescent="0.3">
      <c r="A6" s="10" t="s">
        <v>275</v>
      </c>
      <c r="B6" s="10">
        <v>77.599999999999994</v>
      </c>
      <c r="C6" s="23">
        <v>954</v>
      </c>
      <c r="D6" s="23">
        <v>228</v>
      </c>
      <c r="E6" s="23">
        <v>7.9</v>
      </c>
      <c r="F6" s="23">
        <v>2.2999999999999998</v>
      </c>
      <c r="G6" s="23">
        <v>0.4</v>
      </c>
      <c r="H6" s="23">
        <v>42.2</v>
      </c>
      <c r="I6" s="23">
        <v>5.0999999999999996</v>
      </c>
      <c r="J6" s="23">
        <v>2.1</v>
      </c>
      <c r="K6" s="23">
        <v>867</v>
      </c>
    </row>
    <row r="27" ht="15.5" customHeight="1" x14ac:dyDescent="0.3"/>
    <row r="28" ht="15.5" customHeight="1" x14ac:dyDescent="0.3"/>
    <row r="29" ht="15.5" customHeight="1" x14ac:dyDescent="0.3"/>
    <row r="30" ht="15.5" customHeight="1" x14ac:dyDescent="0.3"/>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1B7C6C-A471-4A8D-B39B-8D734E7DC22A}">
  <sheetPr codeName="Sheet12"/>
  <dimension ref="A1:M16"/>
  <sheetViews>
    <sheetView zoomScale="80" zoomScaleNormal="130" workbookViewId="0">
      <selection activeCell="F23" sqref="F23"/>
    </sheetView>
  </sheetViews>
  <sheetFormatPr defaultRowHeight="13" x14ac:dyDescent="0.3"/>
  <cols>
    <col min="1" max="1" width="31" bestFit="1" customWidth="1"/>
    <col min="2" max="2" width="17.296875" bestFit="1" customWidth="1"/>
    <col min="3" max="3" width="16.59765625" bestFit="1" customWidth="1"/>
    <col min="4" max="4" width="18.19921875" bestFit="1" customWidth="1"/>
    <col min="5" max="5" width="14.09765625" bestFit="1" customWidth="1"/>
    <col min="6" max="6" width="16.19921875" bestFit="1" customWidth="1"/>
    <col min="7" max="7" width="13.796875" bestFit="1" customWidth="1"/>
    <col min="8" max="8" width="15.796875" bestFit="1" customWidth="1"/>
    <col min="9" max="9" width="13.69921875" bestFit="1" customWidth="1"/>
    <col min="10" max="10" width="21.3984375" bestFit="1" customWidth="1"/>
    <col min="11" max="11" width="13" bestFit="1" customWidth="1"/>
    <col min="12" max="12" width="19.3984375" bestFit="1" customWidth="1"/>
    <col min="13" max="13" width="16.09765625" bestFit="1" customWidth="1"/>
  </cols>
  <sheetData>
    <row r="1" spans="1:13" ht="15.5" x14ac:dyDescent="0.3">
      <c r="A1" s="10" t="s">
        <v>314</v>
      </c>
      <c r="B1" s="10" t="s">
        <v>253</v>
      </c>
      <c r="C1" s="10" t="s">
        <v>254</v>
      </c>
      <c r="D1" s="10" t="s">
        <v>157</v>
      </c>
      <c r="E1" s="10" t="s">
        <v>158</v>
      </c>
      <c r="F1" s="10" t="s">
        <v>159</v>
      </c>
      <c r="G1" s="10" t="s">
        <v>160</v>
      </c>
      <c r="H1" s="10" t="s">
        <v>161</v>
      </c>
      <c r="I1" s="10" t="s">
        <v>162</v>
      </c>
      <c r="J1" s="10" t="s">
        <v>163</v>
      </c>
      <c r="K1" s="10" t="s">
        <v>164</v>
      </c>
      <c r="L1" s="10" t="s">
        <v>165</v>
      </c>
      <c r="M1" s="10" t="s">
        <v>166</v>
      </c>
    </row>
    <row r="2" spans="1:13" ht="15.5" x14ac:dyDescent="0.3">
      <c r="A2" s="10" t="s">
        <v>264</v>
      </c>
      <c r="B2" s="10">
        <v>2</v>
      </c>
      <c r="C2" s="10" t="s">
        <v>256</v>
      </c>
      <c r="D2" s="23">
        <v>11.3</v>
      </c>
      <c r="E2" s="23">
        <v>162</v>
      </c>
      <c r="F2" s="23">
        <v>38.6</v>
      </c>
      <c r="G2" s="23">
        <v>2.2999999999999998</v>
      </c>
      <c r="H2" s="23">
        <v>3.1</v>
      </c>
      <c r="I2" s="23">
        <v>2</v>
      </c>
      <c r="J2" s="23">
        <v>0.5</v>
      </c>
      <c r="K2" s="23">
        <v>0.2</v>
      </c>
      <c r="L2" s="23">
        <v>0</v>
      </c>
      <c r="M2" s="23">
        <v>136</v>
      </c>
    </row>
    <row r="3" spans="1:13" ht="15.5" x14ac:dyDescent="0.3">
      <c r="A3" s="10" t="s">
        <v>210</v>
      </c>
      <c r="B3" s="10"/>
      <c r="C3" s="10"/>
      <c r="D3" s="23">
        <v>14.2</v>
      </c>
      <c r="E3" s="23">
        <v>171</v>
      </c>
      <c r="F3" s="23">
        <v>40.9</v>
      </c>
      <c r="G3" s="23">
        <v>3.8</v>
      </c>
      <c r="H3" s="23">
        <v>2.8</v>
      </c>
      <c r="I3" s="23">
        <v>2</v>
      </c>
      <c r="J3" s="23">
        <v>0</v>
      </c>
      <c r="K3" s="23">
        <v>0</v>
      </c>
      <c r="L3" s="23">
        <v>0</v>
      </c>
      <c r="M3" s="23">
        <v>69.599999999999994</v>
      </c>
    </row>
    <row r="4" spans="1:13" ht="15.5" x14ac:dyDescent="0.3">
      <c r="A4" s="10" t="s">
        <v>265</v>
      </c>
      <c r="B4" s="10">
        <v>2</v>
      </c>
      <c r="C4" s="10" t="s">
        <v>256</v>
      </c>
      <c r="D4" s="23">
        <v>11.3</v>
      </c>
      <c r="E4" s="23">
        <v>159</v>
      </c>
      <c r="F4" s="23">
        <v>38.1</v>
      </c>
      <c r="G4" s="23">
        <v>2.2999999999999998</v>
      </c>
      <c r="H4" s="23">
        <v>3</v>
      </c>
      <c r="I4" s="23">
        <v>2.1</v>
      </c>
      <c r="J4" s="23">
        <v>0.6</v>
      </c>
      <c r="K4" s="23">
        <v>0.3</v>
      </c>
      <c r="L4" s="23">
        <v>0</v>
      </c>
      <c r="M4" s="23">
        <v>215</v>
      </c>
    </row>
    <row r="7" spans="1:13" ht="15.5" x14ac:dyDescent="0.3">
      <c r="A7" s="10" t="s">
        <v>320</v>
      </c>
      <c r="B7" s="10" t="s">
        <v>253</v>
      </c>
      <c r="C7" s="10" t="s">
        <v>254</v>
      </c>
      <c r="D7" s="10" t="s">
        <v>157</v>
      </c>
      <c r="E7" s="10" t="s">
        <v>158</v>
      </c>
      <c r="F7" s="10" t="s">
        <v>159</v>
      </c>
      <c r="G7" s="10" t="s">
        <v>160</v>
      </c>
      <c r="H7" s="10" t="s">
        <v>161</v>
      </c>
      <c r="I7" s="10" t="s">
        <v>162</v>
      </c>
      <c r="J7" s="10" t="s">
        <v>163</v>
      </c>
      <c r="K7" s="10" t="s">
        <v>164</v>
      </c>
      <c r="L7" s="10" t="s">
        <v>165</v>
      </c>
      <c r="M7" s="10" t="s">
        <v>166</v>
      </c>
    </row>
    <row r="8" spans="1:13" ht="15.5" x14ac:dyDescent="0.3">
      <c r="A8" s="10" t="s">
        <v>264</v>
      </c>
      <c r="B8" s="10">
        <v>1</v>
      </c>
      <c r="C8" s="10" t="s">
        <v>256</v>
      </c>
      <c r="D8" s="23">
        <v>7.5710000000000006</v>
      </c>
      <c r="E8" s="23">
        <v>108.54</v>
      </c>
      <c r="F8" s="23">
        <v>25.862000000000002</v>
      </c>
      <c r="G8" s="23">
        <v>1.5409999999999999</v>
      </c>
      <c r="H8" s="23">
        <v>2.0770000000000004</v>
      </c>
      <c r="I8" s="23">
        <v>1.34</v>
      </c>
      <c r="J8" s="23">
        <v>0.33500000000000002</v>
      </c>
      <c r="K8" s="23">
        <v>0.13400000000000001</v>
      </c>
      <c r="L8" s="23">
        <v>0</v>
      </c>
      <c r="M8" s="23">
        <v>91.12</v>
      </c>
    </row>
    <row r="9" spans="1:13" ht="15.5" x14ac:dyDescent="0.3">
      <c r="A9" s="10" t="s">
        <v>210</v>
      </c>
      <c r="B9" s="10" t="s">
        <v>303</v>
      </c>
      <c r="C9" s="10"/>
      <c r="D9" s="23">
        <v>9.5139999999999993</v>
      </c>
      <c r="E9" s="23">
        <v>114.57000000000001</v>
      </c>
      <c r="F9" s="23">
        <v>27.403000000000002</v>
      </c>
      <c r="G9" s="23">
        <v>2.5459999999999998</v>
      </c>
      <c r="H9" s="23">
        <v>1.8759999999999999</v>
      </c>
      <c r="I9" s="23">
        <v>1.34</v>
      </c>
      <c r="J9" s="23">
        <v>0</v>
      </c>
      <c r="K9" s="23">
        <v>0</v>
      </c>
      <c r="L9" s="23">
        <v>0</v>
      </c>
      <c r="M9" s="23">
        <v>46.631999999999998</v>
      </c>
    </row>
    <row r="10" spans="1:13" ht="15.5" x14ac:dyDescent="0.3">
      <c r="A10" s="10" t="s">
        <v>265</v>
      </c>
      <c r="B10" s="10">
        <v>1</v>
      </c>
      <c r="C10" s="10" t="s">
        <v>256</v>
      </c>
      <c r="D10" s="23">
        <v>7.5710000000000006</v>
      </c>
      <c r="E10" s="23">
        <v>106.53</v>
      </c>
      <c r="F10" s="23">
        <v>25.527000000000001</v>
      </c>
      <c r="G10" s="23">
        <v>1.5409999999999999</v>
      </c>
      <c r="H10" s="23">
        <v>2.0100000000000002</v>
      </c>
      <c r="I10" s="23">
        <v>1.4070000000000003</v>
      </c>
      <c r="J10" s="23">
        <v>0.40200000000000002</v>
      </c>
      <c r="K10" s="23">
        <v>0.20100000000000001</v>
      </c>
      <c r="L10" s="23">
        <v>0</v>
      </c>
      <c r="M10" s="23">
        <v>144.05000000000001</v>
      </c>
    </row>
    <row r="13" spans="1:13" ht="15.5" x14ac:dyDescent="0.3">
      <c r="A13" s="10"/>
      <c r="B13" s="10"/>
      <c r="C13" s="10"/>
      <c r="D13" s="10"/>
      <c r="E13" s="10"/>
      <c r="F13" s="10"/>
      <c r="G13" s="10"/>
      <c r="H13" s="10"/>
      <c r="I13" s="10"/>
      <c r="J13" s="10"/>
      <c r="K13" s="10"/>
      <c r="L13" s="10"/>
      <c r="M13" s="10"/>
    </row>
    <row r="14" spans="1:13" ht="15.5" x14ac:dyDescent="0.3">
      <c r="A14" s="10"/>
      <c r="B14" s="10"/>
      <c r="C14" s="10"/>
      <c r="D14" s="23"/>
      <c r="E14" s="23"/>
      <c r="F14" s="23"/>
      <c r="G14" s="23"/>
      <c r="H14" s="23"/>
      <c r="I14" s="23"/>
      <c r="J14" s="23"/>
      <c r="K14" s="23"/>
      <c r="L14" s="23"/>
      <c r="M14" s="23"/>
    </row>
    <row r="15" spans="1:13" ht="15.5" x14ac:dyDescent="0.3">
      <c r="A15" s="10"/>
      <c r="B15" s="10"/>
      <c r="C15" s="10"/>
      <c r="D15" s="23"/>
      <c r="E15" s="23"/>
      <c r="F15" s="23"/>
      <c r="G15" s="23"/>
      <c r="H15" s="23"/>
      <c r="I15" s="23"/>
      <c r="J15" s="23"/>
      <c r="K15" s="23"/>
      <c r="L15" s="23"/>
      <c r="M15" s="23"/>
    </row>
    <row r="16" spans="1:13" ht="15.5" x14ac:dyDescent="0.3">
      <c r="A16" s="10"/>
      <c r="B16" s="10"/>
      <c r="C16" s="10"/>
      <c r="D16" s="23"/>
      <c r="E16" s="23"/>
      <c r="F16" s="23"/>
      <c r="G16" s="23"/>
      <c r="H16" s="23"/>
      <c r="I16" s="23"/>
      <c r="J16" s="23"/>
      <c r="K16" s="23"/>
      <c r="L16" s="23"/>
      <c r="M16" s="23"/>
    </row>
  </sheetData>
  <pageMargins left="0.7" right="0.7" top="0.75" bottom="0.75" header="0.3" footer="0.3"/>
  <tableParts count="2">
    <tablePart r:id="rId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6994D5-B703-47BA-BA7D-7B93D4A13E96}">
  <sheetPr codeName="Sheet13"/>
  <dimension ref="A1:K59"/>
  <sheetViews>
    <sheetView zoomScaleNormal="100" workbookViewId="0">
      <selection activeCell="C3" sqref="C3"/>
    </sheetView>
  </sheetViews>
  <sheetFormatPr defaultRowHeight="13" x14ac:dyDescent="0.3"/>
  <cols>
    <col min="1" max="1" width="33.796875" bestFit="1" customWidth="1"/>
    <col min="2" max="2" width="18.19921875" bestFit="1" customWidth="1"/>
    <col min="3" max="3" width="14.09765625" bestFit="1" customWidth="1"/>
    <col min="4" max="4" width="16.19921875" bestFit="1" customWidth="1"/>
    <col min="5" max="5" width="13.796875" bestFit="1" customWidth="1"/>
    <col min="6" max="6" width="15.796875" bestFit="1" customWidth="1"/>
    <col min="7" max="7" width="13.69921875" bestFit="1" customWidth="1"/>
    <col min="8" max="8" width="21.3984375" bestFit="1" customWidth="1"/>
    <col min="9" max="9" width="13" bestFit="1" customWidth="1"/>
    <col min="10" max="10" width="19.3984375" bestFit="1" customWidth="1"/>
    <col min="11" max="11" width="16.09765625" bestFit="1" customWidth="1"/>
  </cols>
  <sheetData>
    <row r="1" spans="1:11" ht="15.5" x14ac:dyDescent="0.3">
      <c r="A1" s="10" t="s">
        <v>311</v>
      </c>
      <c r="B1" s="10" t="s">
        <v>157</v>
      </c>
      <c r="C1" s="10" t="s">
        <v>158</v>
      </c>
      <c r="D1" s="10" t="s">
        <v>159</v>
      </c>
      <c r="E1" s="10" t="s">
        <v>160</v>
      </c>
      <c r="F1" s="10" t="s">
        <v>161</v>
      </c>
      <c r="G1" s="10" t="s">
        <v>162</v>
      </c>
      <c r="H1" s="10" t="s">
        <v>163</v>
      </c>
      <c r="I1" s="10" t="s">
        <v>164</v>
      </c>
      <c r="J1" s="10" t="s">
        <v>165</v>
      </c>
      <c r="K1" s="10" t="s">
        <v>166</v>
      </c>
    </row>
    <row r="2" spans="1:11" ht="15.5" x14ac:dyDescent="0.3">
      <c r="A2" s="10" t="s">
        <v>190</v>
      </c>
      <c r="B2" s="23">
        <v>8.8000000000000007</v>
      </c>
      <c r="C2" s="23">
        <v>187</v>
      </c>
      <c r="D2" s="23">
        <v>44.8</v>
      </c>
      <c r="E2" s="23">
        <v>3.3</v>
      </c>
      <c r="F2" s="23">
        <v>3.3</v>
      </c>
      <c r="G2" s="23">
        <v>1.5</v>
      </c>
      <c r="H2" s="23">
        <v>0.1</v>
      </c>
      <c r="I2" s="23">
        <v>0.1</v>
      </c>
      <c r="J2" s="23">
        <v>0</v>
      </c>
      <c r="K2" s="23">
        <v>198</v>
      </c>
    </row>
    <row r="3" spans="1:11" ht="15.5" x14ac:dyDescent="0.3">
      <c r="A3" s="10" t="s">
        <v>121</v>
      </c>
      <c r="B3" s="23">
        <v>85</v>
      </c>
      <c r="C3" s="23">
        <v>351</v>
      </c>
      <c r="D3" s="23">
        <v>83.9</v>
      </c>
      <c r="E3" s="23">
        <v>14.7</v>
      </c>
      <c r="F3" s="23">
        <v>1.8</v>
      </c>
      <c r="G3" s="23">
        <v>0.6</v>
      </c>
      <c r="H3" s="23">
        <v>3.5</v>
      </c>
      <c r="I3" s="23">
        <v>2.8</v>
      </c>
      <c r="J3" s="23">
        <v>1</v>
      </c>
      <c r="K3" s="23">
        <v>850</v>
      </c>
    </row>
    <row r="4" spans="1:11" ht="15.5" x14ac:dyDescent="0.3">
      <c r="A4" s="10" t="s">
        <v>123</v>
      </c>
      <c r="B4" s="23">
        <v>60</v>
      </c>
      <c r="C4" s="23">
        <v>529</v>
      </c>
      <c r="D4" s="23">
        <v>126</v>
      </c>
      <c r="E4" s="23">
        <v>9.5</v>
      </c>
      <c r="F4" s="23">
        <v>8</v>
      </c>
      <c r="G4" s="23">
        <v>1.7</v>
      </c>
      <c r="H4" s="23">
        <v>3.3</v>
      </c>
      <c r="I4" s="23">
        <v>0.4</v>
      </c>
      <c r="J4" s="23">
        <v>0</v>
      </c>
      <c r="K4" s="23">
        <v>390</v>
      </c>
    </row>
    <row r="5" spans="1:11" ht="15.5" x14ac:dyDescent="0.3">
      <c r="A5" s="10" t="s">
        <v>124</v>
      </c>
      <c r="B5" s="23">
        <v>64</v>
      </c>
      <c r="C5" s="23">
        <v>285</v>
      </c>
      <c r="D5" s="23">
        <v>68.2</v>
      </c>
      <c r="E5" s="23">
        <v>14.4</v>
      </c>
      <c r="F5" s="23">
        <v>1.7</v>
      </c>
      <c r="G5" s="23">
        <v>0.6</v>
      </c>
      <c r="H5" s="23">
        <v>0.6</v>
      </c>
      <c r="I5" s="23">
        <v>0.5</v>
      </c>
      <c r="J5" s="23">
        <v>0.9</v>
      </c>
      <c r="K5" s="23">
        <v>269</v>
      </c>
    </row>
    <row r="6" spans="1:11" ht="15.5" x14ac:dyDescent="0.3">
      <c r="A6" s="10" t="s">
        <v>125</v>
      </c>
      <c r="B6" s="23">
        <v>85</v>
      </c>
      <c r="C6" s="23">
        <v>421</v>
      </c>
      <c r="D6" s="23">
        <v>101</v>
      </c>
      <c r="E6" s="23">
        <v>14.5</v>
      </c>
      <c r="F6" s="23">
        <v>1.8</v>
      </c>
      <c r="G6" s="23">
        <v>0.6</v>
      </c>
      <c r="H6" s="23">
        <v>8</v>
      </c>
      <c r="I6" s="23">
        <v>4.8</v>
      </c>
      <c r="J6" s="23">
        <v>0.9</v>
      </c>
      <c r="K6" s="23">
        <v>463</v>
      </c>
    </row>
    <row r="7" spans="1:11" ht="15.5" x14ac:dyDescent="0.3">
      <c r="A7" s="10" t="s">
        <v>191</v>
      </c>
      <c r="B7" s="23">
        <v>59</v>
      </c>
      <c r="C7" s="23">
        <v>326</v>
      </c>
      <c r="D7" s="23">
        <v>77.8</v>
      </c>
      <c r="E7" s="23">
        <v>7.5</v>
      </c>
      <c r="F7" s="23">
        <v>5.3</v>
      </c>
      <c r="G7" s="23">
        <v>1.8</v>
      </c>
      <c r="H7" s="23">
        <v>0.2</v>
      </c>
      <c r="I7" s="23">
        <v>0.2</v>
      </c>
      <c r="J7" s="23">
        <v>0</v>
      </c>
      <c r="K7" s="23">
        <v>139</v>
      </c>
    </row>
    <row r="8" spans="1:11" ht="15.5" x14ac:dyDescent="0.3">
      <c r="A8" s="10" t="s">
        <v>127</v>
      </c>
      <c r="B8" s="23">
        <v>40</v>
      </c>
      <c r="C8" s="23">
        <v>167</v>
      </c>
      <c r="D8" s="23">
        <v>39.9</v>
      </c>
      <c r="E8" s="23">
        <v>7</v>
      </c>
      <c r="F8" s="23">
        <v>1.2</v>
      </c>
      <c r="G8" s="23">
        <v>0.4</v>
      </c>
      <c r="H8" s="23">
        <v>0.6</v>
      </c>
      <c r="I8" s="23">
        <v>0.6</v>
      </c>
      <c r="J8" s="23">
        <v>0</v>
      </c>
      <c r="K8" s="23">
        <v>440</v>
      </c>
    </row>
    <row r="9" spans="1:11" ht="15.5" x14ac:dyDescent="0.3">
      <c r="A9" s="10" t="s">
        <v>192</v>
      </c>
      <c r="B9" s="23">
        <v>125</v>
      </c>
      <c r="C9" s="23">
        <v>654</v>
      </c>
      <c r="D9" s="23">
        <v>156</v>
      </c>
      <c r="E9" s="23">
        <v>10.4</v>
      </c>
      <c r="F9" s="23">
        <v>7.2</v>
      </c>
      <c r="G9" s="23">
        <v>3</v>
      </c>
      <c r="H9" s="23">
        <v>9.8000000000000007</v>
      </c>
      <c r="I9" s="23">
        <v>5.0999999999999996</v>
      </c>
      <c r="J9" s="23">
        <v>1.5</v>
      </c>
      <c r="K9" s="23">
        <v>476</v>
      </c>
    </row>
    <row r="10" spans="1:11" ht="15.5" x14ac:dyDescent="0.3">
      <c r="A10" s="10" t="s">
        <v>193</v>
      </c>
      <c r="B10" s="23">
        <v>18</v>
      </c>
      <c r="C10" s="23">
        <v>297</v>
      </c>
      <c r="D10" s="23">
        <v>71</v>
      </c>
      <c r="E10" s="23">
        <v>4.0999999999999996</v>
      </c>
      <c r="F10" s="23">
        <v>5.9</v>
      </c>
      <c r="G10" s="23">
        <v>2.2999999999999998</v>
      </c>
      <c r="H10" s="23">
        <v>0.6</v>
      </c>
      <c r="I10" s="23">
        <v>0.2</v>
      </c>
      <c r="J10" s="23">
        <v>0</v>
      </c>
      <c r="K10" s="23">
        <v>270</v>
      </c>
    </row>
    <row r="11" spans="1:11" ht="15.5" x14ac:dyDescent="0.3">
      <c r="A11" s="10" t="s">
        <v>194</v>
      </c>
      <c r="B11" s="23">
        <v>77</v>
      </c>
      <c r="C11" s="23">
        <v>886</v>
      </c>
      <c r="D11" s="23">
        <v>212</v>
      </c>
      <c r="E11" s="23">
        <v>11.4</v>
      </c>
      <c r="F11" s="23">
        <v>17.5</v>
      </c>
      <c r="G11" s="23">
        <v>6.1</v>
      </c>
      <c r="H11" s="23">
        <v>2.2999999999999998</v>
      </c>
      <c r="I11" s="23">
        <v>0.2</v>
      </c>
      <c r="J11" s="23">
        <v>0.9</v>
      </c>
      <c r="K11" s="23">
        <v>601</v>
      </c>
    </row>
    <row r="12" spans="1:11" ht="15.5" x14ac:dyDescent="0.3">
      <c r="A12" s="10" t="s">
        <v>131</v>
      </c>
      <c r="B12" s="23">
        <v>48</v>
      </c>
      <c r="C12" s="23">
        <v>229</v>
      </c>
      <c r="D12" s="23">
        <v>54.8</v>
      </c>
      <c r="E12" s="23">
        <v>8.3000000000000007</v>
      </c>
      <c r="F12" s="23">
        <v>1.5</v>
      </c>
      <c r="G12" s="23">
        <v>0.7</v>
      </c>
      <c r="H12" s="23">
        <v>1.2</v>
      </c>
      <c r="I12" s="23">
        <v>1</v>
      </c>
      <c r="J12" s="23">
        <v>0</v>
      </c>
      <c r="K12" s="23">
        <v>261</v>
      </c>
    </row>
    <row r="13" spans="1:11" ht="15.5" x14ac:dyDescent="0.3">
      <c r="A13" s="10" t="s">
        <v>195</v>
      </c>
      <c r="B13" s="23">
        <v>18</v>
      </c>
      <c r="C13" s="23">
        <v>297</v>
      </c>
      <c r="D13" s="23">
        <v>71</v>
      </c>
      <c r="E13" s="23">
        <v>4.0999999999999996</v>
      </c>
      <c r="F13" s="23">
        <v>5.9</v>
      </c>
      <c r="G13" s="23">
        <v>2.2999999999999998</v>
      </c>
      <c r="H13" s="23">
        <v>0.6</v>
      </c>
      <c r="I13" s="23">
        <v>0.2</v>
      </c>
      <c r="J13" s="23">
        <v>0</v>
      </c>
      <c r="K13" s="23">
        <v>270</v>
      </c>
    </row>
    <row r="14" spans="1:11" ht="15.5" x14ac:dyDescent="0.3">
      <c r="A14" s="10" t="s">
        <v>132</v>
      </c>
      <c r="B14" s="23">
        <v>75</v>
      </c>
      <c r="C14" s="23">
        <v>682</v>
      </c>
      <c r="D14" s="23">
        <v>163</v>
      </c>
      <c r="E14" s="23">
        <v>6.6</v>
      </c>
      <c r="F14" s="23">
        <v>5.9</v>
      </c>
      <c r="G14" s="23">
        <v>1</v>
      </c>
      <c r="H14" s="23">
        <v>17.600000000000001</v>
      </c>
      <c r="I14" s="23">
        <v>3.8</v>
      </c>
      <c r="J14" s="23">
        <v>3.2</v>
      </c>
      <c r="K14" s="23">
        <v>662</v>
      </c>
    </row>
    <row r="15" spans="1:11" ht="15.5" x14ac:dyDescent="0.3">
      <c r="A15" s="10" t="s">
        <v>196</v>
      </c>
      <c r="B15" s="23">
        <v>64</v>
      </c>
      <c r="C15" s="23">
        <v>435</v>
      </c>
      <c r="D15" s="23">
        <v>104</v>
      </c>
      <c r="E15" s="23">
        <v>14.5</v>
      </c>
      <c r="F15" s="23">
        <v>4.5</v>
      </c>
      <c r="G15" s="23">
        <v>2</v>
      </c>
      <c r="H15" s="23">
        <v>0.6</v>
      </c>
      <c r="I15" s="23">
        <v>0.5</v>
      </c>
      <c r="J15" s="23">
        <v>0</v>
      </c>
      <c r="K15" s="23">
        <v>358</v>
      </c>
    </row>
    <row r="16" spans="1:11" ht="15.5" x14ac:dyDescent="0.3">
      <c r="A16" s="10" t="s">
        <v>134</v>
      </c>
      <c r="B16" s="23">
        <v>105</v>
      </c>
      <c r="C16" s="23">
        <v>899</v>
      </c>
      <c r="D16" s="23">
        <v>215</v>
      </c>
      <c r="E16" s="23">
        <v>20.8</v>
      </c>
      <c r="F16" s="23">
        <v>11.8</v>
      </c>
      <c r="G16" s="23">
        <v>2</v>
      </c>
      <c r="H16" s="23">
        <v>9.5</v>
      </c>
      <c r="I16" s="23">
        <v>0.7</v>
      </c>
      <c r="J16" s="23">
        <v>0</v>
      </c>
      <c r="K16" s="23">
        <v>609</v>
      </c>
    </row>
    <row r="17" spans="1:11" ht="15.5" x14ac:dyDescent="0.3">
      <c r="A17" s="10" t="s">
        <v>135</v>
      </c>
      <c r="B17" s="23">
        <v>64</v>
      </c>
      <c r="C17" s="23">
        <v>315</v>
      </c>
      <c r="D17" s="23">
        <v>75.3</v>
      </c>
      <c r="E17" s="23">
        <v>10.199999999999999</v>
      </c>
      <c r="F17" s="23">
        <v>2.2000000000000002</v>
      </c>
      <c r="G17" s="23">
        <v>0.4</v>
      </c>
      <c r="H17" s="23">
        <v>3.6</v>
      </c>
      <c r="I17" s="23">
        <v>2.4</v>
      </c>
      <c r="J17" s="23">
        <v>0</v>
      </c>
      <c r="K17" s="23">
        <v>271</v>
      </c>
    </row>
    <row r="18" spans="1:11" ht="15.5" x14ac:dyDescent="0.3">
      <c r="A18" s="10" t="s">
        <v>136</v>
      </c>
      <c r="B18" s="23">
        <v>54</v>
      </c>
      <c r="C18" s="23">
        <v>240</v>
      </c>
      <c r="D18" s="23">
        <v>57.4</v>
      </c>
      <c r="E18" s="23">
        <v>11.4</v>
      </c>
      <c r="F18" s="23">
        <v>0.5</v>
      </c>
      <c r="G18" s="23">
        <v>0.5</v>
      </c>
      <c r="H18" s="23">
        <v>1.5</v>
      </c>
      <c r="I18" s="23">
        <v>0.5</v>
      </c>
      <c r="J18" s="23">
        <v>0</v>
      </c>
      <c r="K18" s="23">
        <v>359</v>
      </c>
    </row>
    <row r="19" spans="1:11" ht="15.5" x14ac:dyDescent="0.3">
      <c r="A19" s="10" t="s">
        <v>138</v>
      </c>
      <c r="B19" s="23">
        <v>90</v>
      </c>
      <c r="C19" s="23">
        <v>803</v>
      </c>
      <c r="D19" s="23">
        <v>191.9</v>
      </c>
      <c r="E19" s="23">
        <v>7.6</v>
      </c>
      <c r="F19" s="23">
        <v>9.4</v>
      </c>
      <c r="G19" s="23">
        <v>1.8</v>
      </c>
      <c r="H19" s="23">
        <v>16.5</v>
      </c>
      <c r="I19" s="23">
        <v>2.5</v>
      </c>
      <c r="J19" s="23">
        <v>6.2</v>
      </c>
      <c r="K19" s="23">
        <v>324</v>
      </c>
    </row>
    <row r="21" spans="1:11" ht="15.5" x14ac:dyDescent="0.3">
      <c r="A21" s="10"/>
      <c r="B21" s="10"/>
      <c r="C21" s="10"/>
      <c r="D21" s="10"/>
      <c r="E21" s="10"/>
      <c r="F21" s="10"/>
      <c r="G21" s="10"/>
      <c r="H21" s="10"/>
      <c r="I21" s="10"/>
      <c r="J21" s="10"/>
      <c r="K21" s="10"/>
    </row>
    <row r="22" spans="1:11" ht="15.5" x14ac:dyDescent="0.3">
      <c r="A22" s="10"/>
      <c r="B22" s="23"/>
      <c r="C22" s="23"/>
      <c r="D22" s="23"/>
      <c r="E22" s="23"/>
      <c r="F22" s="23"/>
      <c r="G22" s="23"/>
      <c r="H22" s="23"/>
      <c r="I22" s="23"/>
      <c r="J22" s="23"/>
      <c r="K22" s="23"/>
    </row>
    <row r="23" spans="1:11" ht="15.5" x14ac:dyDescent="0.3">
      <c r="A23" s="10"/>
      <c r="B23" s="23"/>
      <c r="C23" s="23"/>
      <c r="D23" s="23"/>
      <c r="E23" s="23"/>
      <c r="F23" s="23"/>
      <c r="G23" s="23"/>
      <c r="H23" s="23"/>
      <c r="I23" s="23"/>
      <c r="J23" s="23"/>
      <c r="K23" s="23"/>
    </row>
    <row r="24" spans="1:11" ht="15.5" x14ac:dyDescent="0.3">
      <c r="A24" s="10"/>
      <c r="B24" s="23"/>
      <c r="C24" s="23"/>
      <c r="D24" s="23"/>
      <c r="E24" s="23"/>
      <c r="F24" s="23"/>
      <c r="G24" s="23"/>
      <c r="H24" s="23"/>
      <c r="I24" s="23"/>
      <c r="J24" s="23"/>
      <c r="K24" s="23"/>
    </row>
    <row r="25" spans="1:11" ht="15.5" x14ac:dyDescent="0.3">
      <c r="A25" s="10"/>
      <c r="B25" s="23"/>
      <c r="C25" s="23"/>
      <c r="D25" s="23"/>
      <c r="E25" s="23"/>
      <c r="F25" s="23"/>
      <c r="G25" s="23"/>
      <c r="H25" s="23"/>
      <c r="I25" s="23"/>
      <c r="J25" s="23"/>
      <c r="K25" s="23"/>
    </row>
    <row r="26" spans="1:11" ht="15.5" x14ac:dyDescent="0.3">
      <c r="A26" s="10"/>
      <c r="B26" s="23"/>
      <c r="C26" s="23"/>
      <c r="D26" s="23"/>
      <c r="E26" s="23"/>
      <c r="F26" s="23"/>
      <c r="G26" s="23"/>
      <c r="H26" s="23"/>
      <c r="I26" s="23"/>
      <c r="J26" s="23"/>
      <c r="K26" s="23"/>
    </row>
    <row r="27" spans="1:11" ht="15.5" x14ac:dyDescent="0.3">
      <c r="A27" s="10"/>
      <c r="B27" s="23"/>
      <c r="C27" s="23"/>
      <c r="D27" s="23"/>
      <c r="E27" s="23"/>
      <c r="F27" s="23"/>
      <c r="G27" s="23"/>
      <c r="H27" s="23"/>
      <c r="I27" s="23"/>
      <c r="J27" s="23"/>
      <c r="K27" s="23"/>
    </row>
    <row r="28" spans="1:11" ht="15.5" x14ac:dyDescent="0.3">
      <c r="A28" s="10"/>
      <c r="B28" s="23"/>
      <c r="C28" s="23"/>
      <c r="D28" s="23"/>
      <c r="E28" s="23"/>
      <c r="F28" s="23"/>
      <c r="G28" s="23"/>
      <c r="H28" s="23"/>
      <c r="I28" s="23"/>
      <c r="J28" s="23"/>
      <c r="K28" s="23"/>
    </row>
    <row r="29" spans="1:11" ht="15.5" x14ac:dyDescent="0.3">
      <c r="A29" s="10"/>
      <c r="B29" s="23"/>
      <c r="C29" s="23"/>
      <c r="D29" s="23"/>
      <c r="E29" s="23"/>
      <c r="F29" s="23"/>
      <c r="G29" s="23"/>
      <c r="H29" s="23"/>
      <c r="I29" s="23"/>
      <c r="J29" s="23"/>
      <c r="K29" s="23"/>
    </row>
    <row r="30" spans="1:11" ht="15.5" x14ac:dyDescent="0.3">
      <c r="A30" s="10"/>
      <c r="B30" s="23"/>
      <c r="C30" s="23"/>
      <c r="D30" s="23"/>
      <c r="E30" s="23"/>
      <c r="F30" s="23"/>
      <c r="G30" s="23"/>
      <c r="H30" s="23"/>
      <c r="I30" s="23"/>
      <c r="J30" s="23"/>
      <c r="K30" s="23"/>
    </row>
    <row r="31" spans="1:11" ht="15.5" x14ac:dyDescent="0.3">
      <c r="A31" s="10"/>
      <c r="B31" s="23"/>
      <c r="C31" s="23"/>
      <c r="D31" s="23"/>
      <c r="E31" s="23"/>
      <c r="F31" s="23"/>
      <c r="G31" s="23"/>
      <c r="H31" s="23"/>
      <c r="I31" s="23"/>
      <c r="J31" s="23"/>
      <c r="K31" s="23"/>
    </row>
    <row r="32" spans="1:11" ht="15.5" x14ac:dyDescent="0.3">
      <c r="A32" s="10"/>
      <c r="B32" s="23"/>
      <c r="C32" s="23"/>
      <c r="D32" s="23"/>
      <c r="E32" s="23"/>
      <c r="F32" s="23"/>
      <c r="G32" s="23"/>
      <c r="H32" s="23"/>
      <c r="I32" s="23"/>
      <c r="J32" s="23"/>
      <c r="K32" s="23"/>
    </row>
    <row r="33" spans="1:11" ht="15.5" x14ac:dyDescent="0.3">
      <c r="A33" s="10"/>
      <c r="B33" s="23"/>
      <c r="C33" s="23"/>
      <c r="D33" s="23"/>
      <c r="E33" s="23"/>
      <c r="F33" s="23"/>
      <c r="G33" s="23"/>
      <c r="H33" s="23"/>
      <c r="I33" s="23"/>
      <c r="J33" s="23"/>
      <c r="K33" s="23"/>
    </row>
    <row r="34" spans="1:11" ht="15.5" x14ac:dyDescent="0.3">
      <c r="A34" s="10"/>
      <c r="B34" s="23"/>
      <c r="C34" s="23"/>
      <c r="D34" s="23"/>
      <c r="E34" s="23"/>
      <c r="F34" s="23"/>
      <c r="G34" s="23"/>
      <c r="H34" s="23"/>
      <c r="I34" s="23"/>
      <c r="J34" s="23"/>
      <c r="K34" s="23"/>
    </row>
    <row r="35" spans="1:11" ht="15.5" x14ac:dyDescent="0.3">
      <c r="A35" s="10"/>
      <c r="B35" s="23"/>
      <c r="C35" s="23"/>
      <c r="D35" s="23"/>
      <c r="E35" s="23"/>
      <c r="F35" s="23"/>
      <c r="G35" s="23"/>
      <c r="H35" s="23"/>
      <c r="I35" s="23"/>
      <c r="J35" s="23"/>
      <c r="K35" s="23"/>
    </row>
    <row r="36" spans="1:11" ht="15.5" x14ac:dyDescent="0.3">
      <c r="A36" s="10"/>
      <c r="B36" s="23"/>
      <c r="C36" s="23"/>
      <c r="D36" s="23"/>
      <c r="E36" s="23"/>
      <c r="F36" s="23"/>
      <c r="G36" s="23"/>
      <c r="H36" s="23"/>
      <c r="I36" s="23"/>
      <c r="J36" s="23"/>
      <c r="K36" s="23"/>
    </row>
    <row r="37" spans="1:11" ht="15.5" x14ac:dyDescent="0.3">
      <c r="A37" s="10"/>
      <c r="B37" s="23"/>
      <c r="C37" s="23"/>
      <c r="D37" s="23"/>
      <c r="E37" s="23"/>
      <c r="F37" s="23"/>
      <c r="G37" s="23"/>
      <c r="H37" s="23"/>
      <c r="I37" s="23"/>
      <c r="J37" s="23"/>
      <c r="K37" s="23"/>
    </row>
    <row r="38" spans="1:11" ht="15.5" x14ac:dyDescent="0.3">
      <c r="A38" s="10"/>
      <c r="B38" s="23"/>
      <c r="C38" s="23"/>
      <c r="D38" s="23"/>
      <c r="E38" s="23"/>
      <c r="F38" s="23"/>
      <c r="G38" s="23"/>
      <c r="H38" s="23"/>
      <c r="I38" s="23"/>
      <c r="J38" s="23"/>
      <c r="K38" s="23"/>
    </row>
    <row r="39" spans="1:11" ht="15.5" x14ac:dyDescent="0.3">
      <c r="A39" s="10"/>
      <c r="B39" s="23"/>
      <c r="C39" s="23"/>
      <c r="D39" s="23"/>
      <c r="E39" s="23"/>
      <c r="F39" s="23"/>
      <c r="G39" s="23"/>
      <c r="H39" s="23"/>
      <c r="I39" s="23"/>
      <c r="J39" s="23"/>
      <c r="K39" s="23"/>
    </row>
    <row r="41" spans="1:11" ht="15.5" x14ac:dyDescent="0.3">
      <c r="A41" s="10"/>
      <c r="B41" s="10"/>
      <c r="C41" s="10"/>
      <c r="D41" s="10"/>
      <c r="E41" s="10"/>
      <c r="F41" s="10"/>
      <c r="G41" s="10"/>
      <c r="H41" s="10"/>
      <c r="I41" s="10"/>
      <c r="J41" s="10"/>
      <c r="K41" s="10"/>
    </row>
    <row r="42" spans="1:11" ht="15.5" x14ac:dyDescent="0.3">
      <c r="A42" s="10"/>
      <c r="B42" s="23"/>
      <c r="C42" s="23"/>
      <c r="D42" s="23"/>
      <c r="E42" s="23"/>
      <c r="F42" s="23"/>
      <c r="G42" s="23"/>
      <c r="H42" s="23"/>
      <c r="I42" s="23"/>
      <c r="J42" s="23"/>
      <c r="K42" s="23"/>
    </row>
    <row r="43" spans="1:11" ht="15.5" x14ac:dyDescent="0.3">
      <c r="A43" s="10"/>
      <c r="B43" s="23"/>
      <c r="C43" s="23"/>
      <c r="D43" s="23"/>
      <c r="E43" s="23"/>
      <c r="F43" s="23"/>
      <c r="G43" s="23"/>
      <c r="H43" s="23"/>
      <c r="I43" s="23"/>
      <c r="J43" s="23"/>
      <c r="K43" s="23"/>
    </row>
    <row r="44" spans="1:11" ht="15.5" x14ac:dyDescent="0.3">
      <c r="A44" s="10"/>
      <c r="B44" s="23"/>
      <c r="C44" s="23"/>
      <c r="D44" s="23"/>
      <c r="E44" s="23"/>
      <c r="F44" s="23"/>
      <c r="G44" s="23"/>
      <c r="H44" s="23"/>
      <c r="I44" s="23"/>
      <c r="J44" s="23"/>
      <c r="K44" s="23"/>
    </row>
    <row r="45" spans="1:11" ht="15.5" x14ac:dyDescent="0.3">
      <c r="A45" s="10"/>
      <c r="B45" s="23"/>
      <c r="C45" s="23"/>
      <c r="D45" s="23"/>
      <c r="E45" s="23"/>
      <c r="F45" s="23"/>
      <c r="G45" s="23"/>
      <c r="H45" s="23"/>
      <c r="I45" s="23"/>
      <c r="J45" s="23"/>
      <c r="K45" s="23"/>
    </row>
    <row r="46" spans="1:11" ht="15.5" x14ac:dyDescent="0.3">
      <c r="A46" s="10"/>
      <c r="B46" s="23"/>
      <c r="C46" s="23"/>
      <c r="D46" s="23"/>
      <c r="E46" s="23"/>
      <c r="F46" s="23"/>
      <c r="G46" s="23"/>
      <c r="H46" s="23"/>
      <c r="I46" s="23"/>
      <c r="J46" s="23"/>
      <c r="K46" s="23"/>
    </row>
    <row r="47" spans="1:11" ht="15.5" x14ac:dyDescent="0.3">
      <c r="A47" s="10"/>
      <c r="B47" s="23"/>
      <c r="C47" s="23"/>
      <c r="D47" s="23"/>
      <c r="E47" s="23"/>
      <c r="F47" s="23"/>
      <c r="G47" s="23"/>
      <c r="H47" s="23"/>
      <c r="I47" s="23"/>
      <c r="J47" s="23"/>
      <c r="K47" s="23"/>
    </row>
    <row r="48" spans="1:11" ht="15.5" x14ac:dyDescent="0.3">
      <c r="A48" s="10"/>
      <c r="B48" s="23"/>
      <c r="C48" s="23"/>
      <c r="D48" s="23"/>
      <c r="E48" s="23"/>
      <c r="F48" s="23"/>
      <c r="G48" s="23"/>
      <c r="H48" s="23"/>
      <c r="I48" s="23"/>
      <c r="J48" s="23"/>
      <c r="K48" s="23"/>
    </row>
    <row r="49" spans="1:11" ht="15.5" x14ac:dyDescent="0.3">
      <c r="A49" s="10"/>
      <c r="B49" s="23"/>
      <c r="C49" s="23"/>
      <c r="D49" s="23"/>
      <c r="E49" s="23"/>
      <c r="F49" s="23"/>
      <c r="G49" s="23"/>
      <c r="H49" s="23"/>
      <c r="I49" s="23"/>
      <c r="J49" s="23"/>
      <c r="K49" s="23"/>
    </row>
    <row r="50" spans="1:11" ht="15.5" x14ac:dyDescent="0.3">
      <c r="A50" s="10"/>
      <c r="B50" s="23"/>
      <c r="C50" s="23"/>
      <c r="D50" s="23"/>
      <c r="E50" s="23"/>
      <c r="F50" s="23"/>
      <c r="G50" s="23"/>
      <c r="H50" s="23"/>
      <c r="I50" s="23"/>
      <c r="J50" s="23"/>
      <c r="K50" s="23"/>
    </row>
    <row r="51" spans="1:11" ht="15.5" x14ac:dyDescent="0.3">
      <c r="A51" s="10"/>
      <c r="B51" s="23"/>
      <c r="C51" s="23"/>
      <c r="D51" s="23"/>
      <c r="E51" s="23"/>
      <c r="F51" s="23"/>
      <c r="G51" s="23"/>
      <c r="H51" s="23"/>
      <c r="I51" s="23"/>
      <c r="J51" s="23"/>
      <c r="K51" s="23"/>
    </row>
    <row r="52" spans="1:11" ht="15.5" x14ac:dyDescent="0.3">
      <c r="A52" s="10"/>
      <c r="B52" s="23"/>
      <c r="C52" s="23"/>
      <c r="D52" s="23"/>
      <c r="E52" s="23"/>
      <c r="F52" s="23"/>
      <c r="G52" s="23"/>
      <c r="H52" s="23"/>
      <c r="I52" s="23"/>
      <c r="J52" s="23"/>
      <c r="K52" s="23"/>
    </row>
    <row r="53" spans="1:11" ht="15.5" x14ac:dyDescent="0.3">
      <c r="A53" s="10"/>
      <c r="B53" s="23"/>
      <c r="C53" s="23"/>
      <c r="D53" s="23"/>
      <c r="E53" s="23"/>
      <c r="F53" s="23"/>
      <c r="G53" s="23"/>
      <c r="H53" s="23"/>
      <c r="I53" s="23"/>
      <c r="J53" s="23"/>
      <c r="K53" s="23"/>
    </row>
    <row r="54" spans="1:11" ht="15.5" x14ac:dyDescent="0.3">
      <c r="A54" s="10"/>
      <c r="B54" s="23"/>
      <c r="C54" s="23"/>
      <c r="D54" s="23"/>
      <c r="E54" s="23"/>
      <c r="F54" s="23"/>
      <c r="G54" s="23"/>
      <c r="H54" s="23"/>
      <c r="I54" s="23"/>
      <c r="J54" s="23"/>
      <c r="K54" s="23"/>
    </row>
    <row r="55" spans="1:11" ht="15.5" x14ac:dyDescent="0.3">
      <c r="A55" s="10"/>
      <c r="B55" s="23"/>
      <c r="C55" s="23"/>
      <c r="D55" s="23"/>
      <c r="E55" s="23"/>
      <c r="F55" s="23"/>
      <c r="G55" s="23"/>
      <c r="H55" s="23"/>
      <c r="I55" s="23"/>
      <c r="J55" s="23"/>
      <c r="K55" s="23"/>
    </row>
    <row r="56" spans="1:11" ht="15.5" x14ac:dyDescent="0.3">
      <c r="A56" s="10"/>
      <c r="B56" s="23"/>
      <c r="C56" s="23"/>
      <c r="D56" s="23"/>
      <c r="E56" s="23"/>
      <c r="F56" s="23"/>
      <c r="G56" s="23"/>
      <c r="H56" s="23"/>
      <c r="I56" s="23"/>
      <c r="J56" s="23"/>
      <c r="K56" s="23"/>
    </row>
    <row r="57" spans="1:11" ht="15.5" x14ac:dyDescent="0.3">
      <c r="A57" s="10"/>
      <c r="B57" s="23"/>
      <c r="C57" s="23"/>
      <c r="D57" s="23"/>
      <c r="E57" s="23"/>
      <c r="F57" s="23"/>
      <c r="G57" s="23"/>
      <c r="H57" s="23"/>
      <c r="I57" s="23"/>
      <c r="J57" s="23"/>
      <c r="K57" s="23"/>
    </row>
    <row r="58" spans="1:11" ht="15.5" x14ac:dyDescent="0.3">
      <c r="A58" s="10"/>
      <c r="B58" s="23"/>
      <c r="C58" s="23"/>
      <c r="D58" s="23"/>
      <c r="E58" s="23"/>
      <c r="F58" s="23"/>
      <c r="G58" s="23"/>
      <c r="H58" s="23"/>
      <c r="I58" s="23"/>
      <c r="J58" s="23"/>
      <c r="K58" s="23"/>
    </row>
    <row r="59" spans="1:11" ht="15.5" x14ac:dyDescent="0.3">
      <c r="A59" s="10"/>
      <c r="B59" s="23"/>
      <c r="C59" s="23"/>
      <c r="D59" s="23"/>
      <c r="E59" s="23"/>
      <c r="F59" s="23"/>
      <c r="G59" s="23"/>
      <c r="H59" s="23"/>
      <c r="I59" s="23"/>
      <c r="J59" s="23"/>
      <c r="K59" s="23"/>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9FA2AF-6E63-46A8-A544-EB21530D87F0}">
  <sheetPr codeName="Sheet14"/>
  <dimension ref="A1:K18"/>
  <sheetViews>
    <sheetView zoomScale="85" zoomScaleNormal="85" workbookViewId="0">
      <selection activeCell="D18" sqref="D18"/>
    </sheetView>
  </sheetViews>
  <sheetFormatPr defaultRowHeight="13" x14ac:dyDescent="0.3"/>
  <cols>
    <col min="1" max="1" width="29.5" bestFit="1" customWidth="1"/>
    <col min="2" max="2" width="18.19921875" bestFit="1" customWidth="1"/>
    <col min="3" max="3" width="14.09765625" bestFit="1" customWidth="1"/>
    <col min="4" max="4" width="16.19921875" bestFit="1" customWidth="1"/>
    <col min="5" max="5" width="13.796875" bestFit="1" customWidth="1"/>
    <col min="6" max="6" width="15.796875" bestFit="1" customWidth="1"/>
    <col min="7" max="7" width="13.69921875" bestFit="1" customWidth="1"/>
    <col min="8" max="8" width="21.3984375" bestFit="1" customWidth="1"/>
    <col min="9" max="9" width="13" bestFit="1" customWidth="1"/>
    <col min="10" max="10" width="19.3984375" bestFit="1" customWidth="1"/>
    <col min="11" max="11" width="16.09765625" bestFit="1" customWidth="1"/>
  </cols>
  <sheetData>
    <row r="1" spans="1:11" ht="15.5" x14ac:dyDescent="0.3">
      <c r="A1" s="10" t="s">
        <v>315</v>
      </c>
      <c r="B1" s="10" t="s">
        <v>157</v>
      </c>
      <c r="C1" s="10" t="s">
        <v>158</v>
      </c>
      <c r="D1" s="10" t="s">
        <v>159</v>
      </c>
      <c r="E1" s="10" t="s">
        <v>160</v>
      </c>
      <c r="F1" s="10" t="s">
        <v>161</v>
      </c>
      <c r="G1" s="10" t="s">
        <v>162</v>
      </c>
      <c r="H1" s="10" t="s">
        <v>163</v>
      </c>
      <c r="I1" s="10" t="s">
        <v>164</v>
      </c>
      <c r="J1" s="10" t="s">
        <v>165</v>
      </c>
      <c r="K1" s="10" t="s">
        <v>166</v>
      </c>
    </row>
    <row r="2" spans="1:11" ht="15.5" x14ac:dyDescent="0.3">
      <c r="A2" s="10" t="s">
        <v>197</v>
      </c>
      <c r="B2" s="23">
        <v>15</v>
      </c>
      <c r="C2" s="23">
        <v>268</v>
      </c>
      <c r="D2" s="23">
        <v>64.2</v>
      </c>
      <c r="E2" s="23">
        <v>0.3</v>
      </c>
      <c r="F2" s="23">
        <v>6.5</v>
      </c>
      <c r="G2" s="23">
        <v>0.6</v>
      </c>
      <c r="H2" s="23">
        <v>1.3</v>
      </c>
      <c r="I2" s="23">
        <v>0.8</v>
      </c>
      <c r="J2" s="23">
        <v>0.1</v>
      </c>
      <c r="K2" s="23">
        <v>180</v>
      </c>
    </row>
    <row r="3" spans="1:11" ht="15.5" x14ac:dyDescent="0.3">
      <c r="A3" s="10" t="s">
        <v>198</v>
      </c>
      <c r="B3" s="23">
        <v>21</v>
      </c>
      <c r="C3" s="23">
        <v>389</v>
      </c>
      <c r="D3" s="23">
        <v>92.9</v>
      </c>
      <c r="E3" s="23">
        <v>0.6</v>
      </c>
      <c r="F3" s="23">
        <v>10.1</v>
      </c>
      <c r="G3" s="23">
        <v>1.6</v>
      </c>
      <c r="H3" s="23">
        <v>1.2</v>
      </c>
      <c r="I3" s="23">
        <v>0.9</v>
      </c>
      <c r="J3" s="23">
        <v>0</v>
      </c>
      <c r="K3" s="23">
        <v>134</v>
      </c>
    </row>
    <row r="4" spans="1:11" ht="15.5" x14ac:dyDescent="0.3">
      <c r="A4" s="10" t="s">
        <v>199</v>
      </c>
      <c r="B4" s="23">
        <v>21</v>
      </c>
      <c r="C4" s="23">
        <v>246</v>
      </c>
      <c r="D4" s="23">
        <v>58.7</v>
      </c>
      <c r="E4" s="23">
        <v>0.3</v>
      </c>
      <c r="F4" s="23">
        <v>5.8</v>
      </c>
      <c r="G4" s="23">
        <v>0.9</v>
      </c>
      <c r="H4" s="23">
        <v>1.6</v>
      </c>
      <c r="I4" s="23">
        <v>1</v>
      </c>
      <c r="J4" s="23">
        <v>0</v>
      </c>
      <c r="K4" s="23">
        <v>187</v>
      </c>
    </row>
    <row r="5" spans="1:11" ht="15.5" x14ac:dyDescent="0.3">
      <c r="A5" s="10" t="s">
        <v>200</v>
      </c>
      <c r="B5" s="23">
        <v>15</v>
      </c>
      <c r="C5" s="23">
        <v>82.5</v>
      </c>
      <c r="D5" s="23">
        <v>19.7</v>
      </c>
      <c r="E5" s="23">
        <v>0.1</v>
      </c>
      <c r="F5" s="23">
        <v>0</v>
      </c>
      <c r="G5" s="23">
        <v>0</v>
      </c>
      <c r="H5" s="23">
        <v>4.5999999999999996</v>
      </c>
      <c r="I5" s="23">
        <v>3.7</v>
      </c>
      <c r="J5" s="23">
        <v>0.1</v>
      </c>
      <c r="K5" s="23">
        <v>320</v>
      </c>
    </row>
    <row r="6" spans="1:11" ht="15.5" x14ac:dyDescent="0.3">
      <c r="A6" s="10" t="s">
        <v>201</v>
      </c>
      <c r="B6" s="23">
        <v>21</v>
      </c>
      <c r="C6" s="23">
        <v>124</v>
      </c>
      <c r="D6" s="23">
        <v>29.6</v>
      </c>
      <c r="E6" s="23">
        <v>0.3</v>
      </c>
      <c r="F6" s="23">
        <v>0.3</v>
      </c>
      <c r="G6" s="23">
        <v>0</v>
      </c>
      <c r="H6" s="23">
        <v>6.5</v>
      </c>
      <c r="I6" s="23">
        <v>4.4000000000000004</v>
      </c>
      <c r="J6" s="23">
        <v>0</v>
      </c>
      <c r="K6" s="23">
        <v>94.5</v>
      </c>
    </row>
    <row r="7" spans="1:11" ht="15.5" x14ac:dyDescent="0.3">
      <c r="A7" s="10" t="s">
        <v>202</v>
      </c>
      <c r="B7" s="23">
        <v>21</v>
      </c>
      <c r="C7" s="23">
        <v>59.9</v>
      </c>
      <c r="D7" s="23">
        <v>14.3</v>
      </c>
      <c r="E7" s="23">
        <v>0.3</v>
      </c>
      <c r="F7" s="23">
        <v>0.5</v>
      </c>
      <c r="G7" s="23">
        <v>0.1</v>
      </c>
      <c r="H7" s="23">
        <v>1.8</v>
      </c>
      <c r="I7" s="23">
        <v>1.4</v>
      </c>
      <c r="J7" s="23">
        <v>0.5</v>
      </c>
      <c r="K7" s="23">
        <v>70.400000000000006</v>
      </c>
    </row>
    <row r="8" spans="1:11" ht="15.5" x14ac:dyDescent="0.3">
      <c r="A8" s="10" t="s">
        <v>203</v>
      </c>
      <c r="B8" s="23">
        <v>15</v>
      </c>
      <c r="C8" s="23">
        <v>86.1</v>
      </c>
      <c r="D8" s="23">
        <v>20.6</v>
      </c>
      <c r="E8" s="23">
        <v>0.1</v>
      </c>
      <c r="F8" s="23">
        <v>1.2</v>
      </c>
      <c r="G8" s="23">
        <v>0.2</v>
      </c>
      <c r="H8" s="23">
        <v>2.2999999999999998</v>
      </c>
      <c r="I8" s="23">
        <v>1.5</v>
      </c>
      <c r="J8" s="23">
        <v>0</v>
      </c>
      <c r="K8" s="23">
        <v>79.5</v>
      </c>
    </row>
    <row r="9" spans="1:11" ht="15.5" x14ac:dyDescent="0.3">
      <c r="A9" s="10" t="s">
        <v>204</v>
      </c>
      <c r="B9" s="23">
        <v>21</v>
      </c>
      <c r="C9" s="23">
        <v>386</v>
      </c>
      <c r="D9" s="23">
        <v>92.4</v>
      </c>
      <c r="E9" s="23">
        <v>0.3</v>
      </c>
      <c r="F9" s="23">
        <v>9.6999999999999993</v>
      </c>
      <c r="G9" s="23">
        <v>1.6</v>
      </c>
      <c r="H9" s="23">
        <v>1.3</v>
      </c>
      <c r="I9" s="23">
        <v>0.8</v>
      </c>
      <c r="J9" s="23">
        <v>0.1</v>
      </c>
      <c r="K9" s="23">
        <v>202</v>
      </c>
    </row>
    <row r="10" spans="1:11" ht="15.5" x14ac:dyDescent="0.3">
      <c r="A10" s="10" t="s">
        <v>205</v>
      </c>
      <c r="B10" s="23">
        <v>21</v>
      </c>
      <c r="C10" s="23">
        <v>131</v>
      </c>
      <c r="D10" s="23">
        <v>31.3</v>
      </c>
      <c r="E10" s="23">
        <v>0.2</v>
      </c>
      <c r="F10" s="23">
        <v>0.2</v>
      </c>
      <c r="G10" s="23">
        <v>0.2</v>
      </c>
      <c r="H10" s="23">
        <v>7.5</v>
      </c>
      <c r="I10" s="23">
        <v>5.7</v>
      </c>
      <c r="J10" s="23">
        <v>0.2</v>
      </c>
      <c r="K10" s="23">
        <v>172</v>
      </c>
    </row>
    <row r="11" spans="1:11" ht="15.5" x14ac:dyDescent="0.3">
      <c r="A11" s="10" t="s">
        <v>206</v>
      </c>
      <c r="B11" s="23">
        <v>15</v>
      </c>
      <c r="C11" s="23">
        <v>157</v>
      </c>
      <c r="D11" s="23">
        <v>37.6</v>
      </c>
      <c r="E11" s="23">
        <v>0.2</v>
      </c>
      <c r="F11" s="23">
        <v>7.4</v>
      </c>
      <c r="G11" s="23">
        <v>0.6</v>
      </c>
      <c r="H11" s="23">
        <v>1.7</v>
      </c>
      <c r="I11" s="23">
        <v>1.4</v>
      </c>
      <c r="J11" s="23">
        <v>0.1</v>
      </c>
      <c r="K11" s="23">
        <v>153</v>
      </c>
    </row>
    <row r="12" spans="1:11" ht="15.5" x14ac:dyDescent="0.3">
      <c r="A12" s="10" t="s">
        <v>207</v>
      </c>
      <c r="B12" s="23">
        <v>21</v>
      </c>
      <c r="C12" s="23">
        <v>165</v>
      </c>
      <c r="D12" s="23">
        <v>39.5</v>
      </c>
      <c r="E12" s="23">
        <v>0</v>
      </c>
      <c r="F12" s="23">
        <v>0.1</v>
      </c>
      <c r="G12" s="23">
        <v>0</v>
      </c>
      <c r="H12" s="23">
        <v>9.6</v>
      </c>
      <c r="I12" s="23">
        <v>9.1</v>
      </c>
      <c r="J12" s="23">
        <v>0</v>
      </c>
      <c r="K12" s="23">
        <v>185</v>
      </c>
    </row>
    <row r="13" spans="1:11" ht="15.5" x14ac:dyDescent="0.3">
      <c r="A13" s="10" t="s">
        <v>208</v>
      </c>
      <c r="B13" s="23">
        <v>21</v>
      </c>
      <c r="C13" s="23">
        <v>155</v>
      </c>
      <c r="D13" s="23">
        <v>38.6</v>
      </c>
      <c r="E13" s="23">
        <v>0.1</v>
      </c>
      <c r="F13" s="23">
        <v>0.1</v>
      </c>
      <c r="G13" s="23">
        <v>0</v>
      </c>
      <c r="H13" s="23">
        <v>9.1</v>
      </c>
      <c r="I13" s="23">
        <v>7.9</v>
      </c>
      <c r="J13" s="23">
        <v>0.1</v>
      </c>
      <c r="K13" s="23">
        <v>73.5</v>
      </c>
    </row>
    <row r="16" spans="1:11" ht="15.5" x14ac:dyDescent="0.3">
      <c r="A16" s="10" t="s">
        <v>316</v>
      </c>
      <c r="B16" s="10" t="s">
        <v>157</v>
      </c>
      <c r="C16" s="10" t="s">
        <v>158</v>
      </c>
      <c r="D16" s="10" t="s">
        <v>159</v>
      </c>
      <c r="E16" s="10" t="s">
        <v>160</v>
      </c>
      <c r="F16" s="10" t="s">
        <v>161</v>
      </c>
      <c r="G16" s="10" t="s">
        <v>162</v>
      </c>
      <c r="H16" s="10" t="s">
        <v>163</v>
      </c>
      <c r="I16" s="10" t="s">
        <v>164</v>
      </c>
      <c r="J16" s="10" t="s">
        <v>165</v>
      </c>
      <c r="K16" s="10" t="s">
        <v>166</v>
      </c>
    </row>
    <row r="17" spans="1:11" ht="15.5" x14ac:dyDescent="0.3">
      <c r="A17" s="10" t="s">
        <v>225</v>
      </c>
      <c r="B17" s="10">
        <v>1</v>
      </c>
      <c r="C17" s="10">
        <v>12.1</v>
      </c>
      <c r="D17" s="10">
        <v>2.9</v>
      </c>
      <c r="E17" s="10">
        <v>0.1</v>
      </c>
      <c r="F17" s="10">
        <v>0</v>
      </c>
      <c r="G17" s="10">
        <v>0</v>
      </c>
      <c r="H17" s="10">
        <v>0.4</v>
      </c>
      <c r="I17" s="10">
        <v>0</v>
      </c>
      <c r="J17" s="10">
        <v>0</v>
      </c>
      <c r="K17" s="10">
        <v>0.3</v>
      </c>
    </row>
    <row r="18" spans="1:11" ht="15.5" x14ac:dyDescent="0.3">
      <c r="A18" s="10" t="s">
        <v>226</v>
      </c>
      <c r="B18" s="10">
        <v>1</v>
      </c>
      <c r="C18" s="10">
        <v>0</v>
      </c>
      <c r="D18" s="10">
        <v>0</v>
      </c>
      <c r="E18" s="10">
        <v>0</v>
      </c>
      <c r="F18" s="10">
        <v>0</v>
      </c>
      <c r="G18" s="10">
        <v>0</v>
      </c>
      <c r="H18" s="10">
        <v>0</v>
      </c>
      <c r="I18" s="10">
        <v>0</v>
      </c>
      <c r="J18" s="10">
        <v>0</v>
      </c>
      <c r="K18" s="10">
        <v>391</v>
      </c>
    </row>
  </sheetData>
  <pageMargins left="0.7" right="0.7" top="0.75" bottom="0.75" header="0.3" footer="0.3"/>
  <pageSetup paperSize="9" orientation="portrait" horizontalDpi="0" verticalDpi="0" copies="0" r:id="rId1"/>
  <tableParts count="2">
    <tablePart r:id="rId2"/>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85EBD7-277C-4499-AB63-0EAEE4B5852E}">
  <sheetPr codeName="Sheet11"/>
  <dimension ref="A1:O61"/>
  <sheetViews>
    <sheetView zoomScale="81" zoomScaleNormal="130" workbookViewId="0">
      <selection activeCell="D22" sqref="D22"/>
    </sheetView>
  </sheetViews>
  <sheetFormatPr defaultRowHeight="15.5" x14ac:dyDescent="0.3"/>
  <cols>
    <col min="1" max="1" width="29.59765625" style="10" bestFit="1" customWidth="1"/>
    <col min="2" max="2" width="17.3984375" style="10" bestFit="1" customWidth="1"/>
    <col min="3" max="3" width="16.796875" style="10" bestFit="1" customWidth="1"/>
    <col min="4" max="4" width="18.69921875" style="10" bestFit="1" customWidth="1"/>
    <col min="5" max="5" width="15" style="10" bestFit="1" customWidth="1"/>
    <col min="6" max="6" width="16.19921875" style="10" bestFit="1" customWidth="1"/>
    <col min="7" max="7" width="13.8984375" style="10" bestFit="1" customWidth="1"/>
    <col min="8" max="8" width="15.8984375" style="10" bestFit="1" customWidth="1"/>
    <col min="9" max="9" width="13.796875" style="10" bestFit="1" customWidth="1"/>
    <col min="10" max="10" width="21.3984375" style="10" bestFit="1" customWidth="1"/>
    <col min="11" max="11" width="13.09765625" style="10" bestFit="1" customWidth="1"/>
    <col min="12" max="12" width="19.69921875" style="10" bestFit="1" customWidth="1"/>
    <col min="13" max="13" width="16.09765625" style="10" bestFit="1" customWidth="1"/>
    <col min="14" max="16384" width="8.796875" style="10"/>
  </cols>
  <sheetData>
    <row r="1" spans="1:15" x14ac:dyDescent="0.3">
      <c r="A1" s="10" t="s">
        <v>310</v>
      </c>
      <c r="B1" s="10" t="s">
        <v>253</v>
      </c>
      <c r="C1" s="10" t="s">
        <v>254</v>
      </c>
      <c r="D1" s="10" t="s">
        <v>157</v>
      </c>
      <c r="E1" s="10" t="s">
        <v>158</v>
      </c>
      <c r="F1" s="10" t="s">
        <v>159</v>
      </c>
      <c r="G1" s="10" t="s">
        <v>160</v>
      </c>
      <c r="H1" s="10" t="s">
        <v>161</v>
      </c>
      <c r="I1" s="10" t="s">
        <v>162</v>
      </c>
      <c r="J1" s="10" t="s">
        <v>163</v>
      </c>
      <c r="K1" s="10" t="s">
        <v>164</v>
      </c>
      <c r="L1" s="10" t="s">
        <v>165</v>
      </c>
      <c r="M1" s="10" t="s">
        <v>166</v>
      </c>
      <c r="N1"/>
      <c r="O1"/>
    </row>
    <row r="2" spans="1:15" x14ac:dyDescent="0.3">
      <c r="A2" s="10" t="s">
        <v>223</v>
      </c>
      <c r="B2" s="10" t="s">
        <v>303</v>
      </c>
      <c r="C2" s="10" t="s">
        <v>303</v>
      </c>
      <c r="D2" s="23">
        <v>7</v>
      </c>
      <c r="E2" s="23">
        <v>6.4</v>
      </c>
      <c r="F2" s="23">
        <v>1.5</v>
      </c>
      <c r="G2" s="23">
        <v>0.2</v>
      </c>
      <c r="H2" s="23">
        <v>0</v>
      </c>
      <c r="I2" s="23">
        <v>0</v>
      </c>
      <c r="J2" s="23">
        <v>0.2</v>
      </c>
      <c r="K2" s="23">
        <v>0</v>
      </c>
      <c r="L2" s="23">
        <v>0.2</v>
      </c>
      <c r="M2" s="23">
        <v>5.5</v>
      </c>
    </row>
    <row r="3" spans="1:15" x14ac:dyDescent="0.3">
      <c r="A3" s="10" t="s">
        <v>252</v>
      </c>
      <c r="B3" s="10" t="s">
        <v>303</v>
      </c>
      <c r="C3" s="10" t="s">
        <v>303</v>
      </c>
      <c r="D3" s="23">
        <v>20</v>
      </c>
      <c r="E3" s="23">
        <v>50.2</v>
      </c>
      <c r="F3" s="23">
        <v>12</v>
      </c>
      <c r="G3" s="23">
        <v>0.1</v>
      </c>
      <c r="H3" s="23">
        <v>0</v>
      </c>
      <c r="I3" s="23">
        <v>0</v>
      </c>
      <c r="J3" s="23">
        <v>3.6</v>
      </c>
      <c r="K3" s="23">
        <v>3.2</v>
      </c>
      <c r="L3" s="23">
        <v>0.2</v>
      </c>
      <c r="M3" s="23">
        <v>1.5</v>
      </c>
    </row>
    <row r="4" spans="1:15" x14ac:dyDescent="0.3">
      <c r="A4" s="10" t="s">
        <v>219</v>
      </c>
      <c r="B4" s="10" t="s">
        <v>303</v>
      </c>
      <c r="C4" s="10" t="s">
        <v>303</v>
      </c>
      <c r="D4" s="23">
        <v>7</v>
      </c>
      <c r="E4" s="23">
        <v>11.7</v>
      </c>
      <c r="F4" s="23">
        <v>2.8</v>
      </c>
      <c r="G4" s="23">
        <v>0.1</v>
      </c>
      <c r="H4" s="23">
        <v>0</v>
      </c>
      <c r="I4" s="23">
        <v>0</v>
      </c>
      <c r="J4" s="23">
        <v>0.5</v>
      </c>
      <c r="K4" s="23">
        <v>0.3</v>
      </c>
      <c r="L4" s="23">
        <v>0.1</v>
      </c>
      <c r="M4" s="23">
        <v>0.3</v>
      </c>
    </row>
    <row r="5" spans="1:15" x14ac:dyDescent="0.3">
      <c r="A5" s="10" t="s">
        <v>218</v>
      </c>
      <c r="B5" s="10" t="s">
        <v>303</v>
      </c>
      <c r="C5" s="10" t="s">
        <v>303</v>
      </c>
      <c r="D5" s="23">
        <v>21</v>
      </c>
      <c r="E5" s="23">
        <v>12.3</v>
      </c>
      <c r="F5" s="23">
        <v>2.9</v>
      </c>
      <c r="G5" s="23">
        <v>0.2</v>
      </c>
      <c r="H5" s="23">
        <v>0</v>
      </c>
      <c r="I5" s="23">
        <v>0</v>
      </c>
      <c r="J5" s="23">
        <v>0.4</v>
      </c>
      <c r="K5" s="23">
        <v>0.4</v>
      </c>
      <c r="L5" s="23">
        <v>0.3</v>
      </c>
      <c r="M5" s="23">
        <v>2.1</v>
      </c>
    </row>
    <row r="6" spans="1:15" x14ac:dyDescent="0.3">
      <c r="A6" s="10" t="s">
        <v>280</v>
      </c>
      <c r="B6" s="10" t="s">
        <v>303</v>
      </c>
      <c r="C6" s="10" t="s">
        <v>303</v>
      </c>
      <c r="D6" s="23">
        <v>21</v>
      </c>
      <c r="E6" s="23">
        <v>49.3</v>
      </c>
      <c r="F6" s="23">
        <v>11.8</v>
      </c>
      <c r="G6" s="23">
        <v>0.2</v>
      </c>
      <c r="H6" s="23">
        <v>0</v>
      </c>
      <c r="I6" s="23">
        <v>0</v>
      </c>
      <c r="J6" s="23">
        <v>2.5</v>
      </c>
      <c r="K6" s="23">
        <v>2.2999999999999998</v>
      </c>
      <c r="L6" s="23">
        <v>0.5</v>
      </c>
      <c r="M6" s="23">
        <v>52.5</v>
      </c>
    </row>
    <row r="7" spans="1:15" x14ac:dyDescent="0.3">
      <c r="A7" s="10" t="s">
        <v>212</v>
      </c>
      <c r="B7" s="10" t="s">
        <v>303</v>
      </c>
      <c r="C7" s="10" t="s">
        <v>303</v>
      </c>
      <c r="D7" s="23">
        <v>35</v>
      </c>
      <c r="E7" s="23">
        <v>244</v>
      </c>
      <c r="F7" s="23">
        <v>58.3</v>
      </c>
      <c r="G7" s="23">
        <v>1.2</v>
      </c>
      <c r="H7" s="23">
        <v>5.3</v>
      </c>
      <c r="I7" s="23">
        <v>0.6</v>
      </c>
      <c r="J7" s="23">
        <v>3.5</v>
      </c>
      <c r="K7" s="23">
        <v>0</v>
      </c>
      <c r="L7" s="23">
        <v>0</v>
      </c>
      <c r="M7" s="23">
        <v>0</v>
      </c>
    </row>
    <row r="8" spans="1:15" x14ac:dyDescent="0.3">
      <c r="A8" s="10" t="s">
        <v>247</v>
      </c>
      <c r="B8" s="10">
        <v>3</v>
      </c>
      <c r="C8" s="10" t="s">
        <v>255</v>
      </c>
      <c r="D8" s="23">
        <v>7</v>
      </c>
      <c r="E8" s="23">
        <v>5.9</v>
      </c>
      <c r="F8" s="23">
        <v>1.4</v>
      </c>
      <c r="G8" s="23">
        <v>0.1</v>
      </c>
      <c r="H8" s="23">
        <v>0</v>
      </c>
      <c r="I8" s="23">
        <v>0</v>
      </c>
      <c r="J8" s="23">
        <v>0.2</v>
      </c>
      <c r="K8" s="23">
        <v>0.2</v>
      </c>
      <c r="L8" s="23">
        <v>0.1</v>
      </c>
      <c r="M8" s="23">
        <v>0.2</v>
      </c>
    </row>
    <row r="9" spans="1:15" x14ac:dyDescent="0.3">
      <c r="A9" s="10" t="s">
        <v>278</v>
      </c>
      <c r="B9" s="10">
        <v>3</v>
      </c>
      <c r="C9" s="10" t="s">
        <v>256</v>
      </c>
      <c r="D9" s="23">
        <v>14</v>
      </c>
      <c r="E9" s="23">
        <v>8.8000000000000007</v>
      </c>
      <c r="F9" s="23">
        <v>2.1</v>
      </c>
      <c r="G9" s="23">
        <v>0.1</v>
      </c>
      <c r="H9" s="23">
        <v>0</v>
      </c>
      <c r="I9" s="23">
        <v>0</v>
      </c>
      <c r="J9" s="23">
        <v>0.4</v>
      </c>
      <c r="K9" s="23">
        <v>0.2</v>
      </c>
      <c r="L9" s="23">
        <v>0.1</v>
      </c>
      <c r="M9" s="23">
        <v>0.3</v>
      </c>
    </row>
    <row r="10" spans="1:15" x14ac:dyDescent="0.3">
      <c r="A10" s="10" t="s">
        <v>248</v>
      </c>
      <c r="B10" s="10">
        <v>3</v>
      </c>
      <c r="C10" s="10" t="s">
        <v>257</v>
      </c>
      <c r="D10" s="23">
        <v>4</v>
      </c>
      <c r="E10" s="23">
        <v>6.7</v>
      </c>
      <c r="F10" s="23">
        <v>1.6</v>
      </c>
      <c r="G10" s="23">
        <v>0.1</v>
      </c>
      <c r="H10" s="23">
        <v>0</v>
      </c>
      <c r="I10" s="23">
        <v>0</v>
      </c>
      <c r="J10" s="23">
        <v>0.2</v>
      </c>
      <c r="K10" s="23">
        <v>0.2</v>
      </c>
      <c r="L10" s="23">
        <v>0.1</v>
      </c>
      <c r="M10" s="23">
        <v>67.599999999999994</v>
      </c>
    </row>
    <row r="11" spans="1:15" x14ac:dyDescent="0.3">
      <c r="A11" s="10" t="s">
        <v>249</v>
      </c>
      <c r="B11" s="10">
        <v>3</v>
      </c>
      <c r="C11" s="10" t="s">
        <v>257</v>
      </c>
      <c r="D11" s="23">
        <v>3</v>
      </c>
      <c r="E11" s="23">
        <v>16.100000000000001</v>
      </c>
      <c r="F11" s="23">
        <v>3.8</v>
      </c>
      <c r="G11" s="23">
        <v>0</v>
      </c>
      <c r="H11" s="23">
        <v>0.3</v>
      </c>
      <c r="I11" s="23">
        <v>0.1</v>
      </c>
      <c r="J11" s="23">
        <v>0.2</v>
      </c>
      <c r="K11" s="23">
        <v>0</v>
      </c>
      <c r="L11" s="23">
        <v>0.1</v>
      </c>
      <c r="M11" s="23">
        <v>26.4</v>
      </c>
    </row>
    <row r="12" spans="1:15" x14ac:dyDescent="0.3">
      <c r="A12" s="10" t="s">
        <v>250</v>
      </c>
      <c r="B12" s="10">
        <v>3</v>
      </c>
      <c r="C12" s="10" t="s">
        <v>258</v>
      </c>
      <c r="D12" s="23">
        <v>9.5</v>
      </c>
      <c r="E12" s="23">
        <v>5.9</v>
      </c>
      <c r="F12" s="23">
        <v>1.4</v>
      </c>
      <c r="G12" s="23">
        <v>0</v>
      </c>
      <c r="H12" s="23">
        <v>0</v>
      </c>
      <c r="I12" s="23">
        <v>0</v>
      </c>
      <c r="J12" s="23">
        <v>0.2</v>
      </c>
      <c r="K12" s="23">
        <v>0</v>
      </c>
      <c r="L12" s="23">
        <v>0.1</v>
      </c>
      <c r="M12" s="23">
        <v>114</v>
      </c>
    </row>
    <row r="13" spans="1:15" x14ac:dyDescent="0.3">
      <c r="A13" s="10" t="s">
        <v>251</v>
      </c>
      <c r="B13" s="10">
        <v>3</v>
      </c>
      <c r="C13" s="10" t="s">
        <v>258</v>
      </c>
      <c r="D13" s="23">
        <v>35</v>
      </c>
      <c r="E13" s="23">
        <v>26.4</v>
      </c>
      <c r="F13" s="23">
        <v>6.3</v>
      </c>
      <c r="G13" s="23">
        <v>0.3</v>
      </c>
      <c r="H13" s="23">
        <v>0.1</v>
      </c>
      <c r="I13" s="23">
        <v>0</v>
      </c>
      <c r="J13" s="23">
        <v>0.9</v>
      </c>
      <c r="K13" s="23">
        <v>0.9</v>
      </c>
      <c r="L13" s="23">
        <v>0.4</v>
      </c>
      <c r="M13" s="23">
        <v>1.8</v>
      </c>
    </row>
    <row r="14" spans="1:15" x14ac:dyDescent="0.3">
      <c r="A14" s="10" t="s">
        <v>215</v>
      </c>
      <c r="B14" s="10" t="s">
        <v>303</v>
      </c>
      <c r="C14" s="10" t="s">
        <v>303</v>
      </c>
      <c r="D14" s="23">
        <v>7</v>
      </c>
      <c r="E14" s="23">
        <v>12</v>
      </c>
      <c r="F14" s="23">
        <v>2.9</v>
      </c>
      <c r="G14" s="23">
        <v>0.1</v>
      </c>
      <c r="H14" s="23">
        <v>0</v>
      </c>
      <c r="I14" s="23">
        <v>0</v>
      </c>
      <c r="J14" s="23">
        <v>0.5</v>
      </c>
      <c r="K14" s="23">
        <v>0.3</v>
      </c>
      <c r="L14" s="23">
        <v>0.2</v>
      </c>
      <c r="M14" s="23">
        <v>4.8</v>
      </c>
    </row>
    <row r="17" spans="1:13" x14ac:dyDescent="0.3">
      <c r="A17" s="86" t="s">
        <v>246</v>
      </c>
      <c r="B17" s="86" t="s">
        <v>253</v>
      </c>
      <c r="C17" s="86" t="s">
        <v>254</v>
      </c>
      <c r="D17" s="86" t="s">
        <v>157</v>
      </c>
      <c r="E17" s="86" t="s">
        <v>158</v>
      </c>
      <c r="F17" s="86" t="s">
        <v>159</v>
      </c>
      <c r="G17" s="86" t="s">
        <v>160</v>
      </c>
      <c r="H17" s="86" t="s">
        <v>161</v>
      </c>
      <c r="I17" s="86" t="s">
        <v>162</v>
      </c>
      <c r="J17" s="86" t="s">
        <v>163</v>
      </c>
      <c r="K17" s="86" t="s">
        <v>164</v>
      </c>
      <c r="L17" s="86" t="s">
        <v>165</v>
      </c>
      <c r="M17" s="86" t="s">
        <v>166</v>
      </c>
    </row>
    <row r="18" spans="1:13" x14ac:dyDescent="0.3">
      <c r="A18" s="80" t="s">
        <v>247</v>
      </c>
      <c r="B18" s="80">
        <v>1</v>
      </c>
      <c r="C18" s="80" t="s">
        <v>259</v>
      </c>
      <c r="D18" s="81">
        <v>2.3333333333333335</v>
      </c>
      <c r="E18" s="81">
        <v>1.9666666666666668</v>
      </c>
      <c r="F18" s="81">
        <v>0.46666666666666662</v>
      </c>
      <c r="G18" s="81">
        <v>3.3333333333333333E-2</v>
      </c>
      <c r="H18" s="81">
        <v>0</v>
      </c>
      <c r="I18" s="81">
        <v>0</v>
      </c>
      <c r="J18" s="81">
        <v>6.6666666666666666E-2</v>
      </c>
      <c r="K18" s="81">
        <v>6.6666666666666666E-2</v>
      </c>
      <c r="L18" s="81">
        <v>3.3333333333333333E-2</v>
      </c>
      <c r="M18" s="81">
        <v>6.6666666666666666E-2</v>
      </c>
    </row>
    <row r="19" spans="1:13" x14ac:dyDescent="0.3">
      <c r="A19" s="82" t="s">
        <v>278</v>
      </c>
      <c r="B19" s="82">
        <v>1</v>
      </c>
      <c r="C19" s="82" t="s">
        <v>260</v>
      </c>
      <c r="D19" s="83">
        <v>4.666666666666667</v>
      </c>
      <c r="E19" s="83">
        <v>2.9333333333333336</v>
      </c>
      <c r="F19" s="83">
        <v>0.70000000000000007</v>
      </c>
      <c r="G19" s="83">
        <v>3.3333333333333333E-2</v>
      </c>
      <c r="H19" s="83">
        <v>0</v>
      </c>
      <c r="I19" s="83">
        <v>0</v>
      </c>
      <c r="J19" s="83">
        <v>0.13333333333333333</v>
      </c>
      <c r="K19" s="83">
        <v>6.6666666666666666E-2</v>
      </c>
      <c r="L19" s="83">
        <v>3.3333333333333333E-2</v>
      </c>
      <c r="M19" s="83">
        <v>9.9999999999999992E-2</v>
      </c>
    </row>
    <row r="20" spans="1:13" x14ac:dyDescent="0.3">
      <c r="A20" s="80" t="s">
        <v>248</v>
      </c>
      <c r="B20" s="80">
        <v>1</v>
      </c>
      <c r="C20" s="80" t="s">
        <v>261</v>
      </c>
      <c r="D20" s="81">
        <v>1.3333333333333333</v>
      </c>
      <c r="E20" s="81">
        <v>2.2333333333333334</v>
      </c>
      <c r="F20" s="81">
        <v>0.53333333333333333</v>
      </c>
      <c r="G20" s="81">
        <v>3.3333333333333333E-2</v>
      </c>
      <c r="H20" s="81">
        <v>0</v>
      </c>
      <c r="I20" s="81">
        <v>0</v>
      </c>
      <c r="J20" s="81">
        <v>6.6666666666666666E-2</v>
      </c>
      <c r="K20" s="81">
        <v>6.6666666666666666E-2</v>
      </c>
      <c r="L20" s="81">
        <v>3.3333333333333333E-2</v>
      </c>
      <c r="M20" s="81">
        <v>22.533333333333331</v>
      </c>
    </row>
    <row r="21" spans="1:13" x14ac:dyDescent="0.3">
      <c r="A21" s="82" t="s">
        <v>249</v>
      </c>
      <c r="B21" s="82">
        <v>1</v>
      </c>
      <c r="C21" s="82" t="s">
        <v>261</v>
      </c>
      <c r="D21" s="83">
        <v>1</v>
      </c>
      <c r="E21" s="83">
        <v>5.3666666666666671</v>
      </c>
      <c r="F21" s="83">
        <v>1.2666666666666666</v>
      </c>
      <c r="G21" s="83">
        <v>0</v>
      </c>
      <c r="H21" s="83">
        <v>9.9999999999999992E-2</v>
      </c>
      <c r="I21" s="83">
        <v>3.3333333333333333E-2</v>
      </c>
      <c r="J21" s="83">
        <v>6.6666666666666666E-2</v>
      </c>
      <c r="K21" s="83">
        <v>0</v>
      </c>
      <c r="L21" s="83">
        <v>3.3333333333333333E-2</v>
      </c>
      <c r="M21" s="83">
        <v>8.7999999999999989</v>
      </c>
    </row>
    <row r="22" spans="1:13" x14ac:dyDescent="0.3">
      <c r="A22" s="80" t="s">
        <v>250</v>
      </c>
      <c r="B22" s="80">
        <v>1</v>
      </c>
      <c r="C22" s="80" t="s">
        <v>262</v>
      </c>
      <c r="D22" s="81">
        <v>3.1666666666666665</v>
      </c>
      <c r="E22" s="81">
        <v>1.9666666666666668</v>
      </c>
      <c r="F22" s="81">
        <v>0.46666666666666662</v>
      </c>
      <c r="G22" s="81">
        <v>0</v>
      </c>
      <c r="H22" s="81">
        <v>0</v>
      </c>
      <c r="I22" s="81">
        <v>0</v>
      </c>
      <c r="J22" s="81">
        <v>6.6666666666666666E-2</v>
      </c>
      <c r="K22" s="81">
        <v>0</v>
      </c>
      <c r="L22" s="81">
        <v>3.3333333333333333E-2</v>
      </c>
      <c r="M22" s="81">
        <v>38</v>
      </c>
    </row>
    <row r="23" spans="1:13" x14ac:dyDescent="0.3">
      <c r="A23" s="87" t="s">
        <v>251</v>
      </c>
      <c r="B23" s="87">
        <v>1</v>
      </c>
      <c r="C23" s="87" t="s">
        <v>262</v>
      </c>
      <c r="D23" s="88">
        <v>11.666666666666666</v>
      </c>
      <c r="E23" s="88">
        <v>8.7999999999999989</v>
      </c>
      <c r="F23" s="88">
        <v>2.1</v>
      </c>
      <c r="G23" s="88">
        <v>9.9999999999999992E-2</v>
      </c>
      <c r="H23" s="88">
        <v>3.3333333333333333E-2</v>
      </c>
      <c r="I23" s="88">
        <v>0</v>
      </c>
      <c r="J23" s="88">
        <v>0.3</v>
      </c>
      <c r="K23" s="88">
        <v>0.3</v>
      </c>
      <c r="L23" s="88">
        <v>0.13333333333333333</v>
      </c>
      <c r="M23" s="88">
        <v>0.6</v>
      </c>
    </row>
    <row r="25" spans="1:13" x14ac:dyDescent="0.3">
      <c r="A25"/>
      <c r="B25"/>
      <c r="C25"/>
      <c r="D25"/>
      <c r="E25"/>
      <c r="F25"/>
      <c r="G25"/>
      <c r="H25"/>
      <c r="I25"/>
      <c r="J25"/>
      <c r="K25"/>
      <c r="L25"/>
      <c r="M25"/>
    </row>
    <row r="26" spans="1:13" x14ac:dyDescent="0.3">
      <c r="A26"/>
      <c r="B26"/>
      <c r="C26"/>
      <c r="D26"/>
      <c r="E26"/>
      <c r="F26"/>
      <c r="G26"/>
      <c r="H26"/>
      <c r="I26"/>
      <c r="J26"/>
      <c r="K26"/>
      <c r="L26"/>
      <c r="M26"/>
    </row>
    <row r="34" spans="1:13" x14ac:dyDescent="0.3">
      <c r="A34"/>
      <c r="B34"/>
      <c r="C34"/>
      <c r="D34"/>
      <c r="E34"/>
      <c r="F34"/>
      <c r="G34"/>
      <c r="H34"/>
      <c r="I34"/>
      <c r="J34"/>
      <c r="K34"/>
      <c r="L34"/>
      <c r="M34"/>
    </row>
    <row r="35" spans="1:13" x14ac:dyDescent="0.3">
      <c r="A35"/>
      <c r="B35"/>
      <c r="C35"/>
      <c r="D35"/>
      <c r="E35"/>
      <c r="F35"/>
      <c r="G35"/>
      <c r="H35"/>
      <c r="I35"/>
      <c r="J35"/>
      <c r="K35"/>
      <c r="L35"/>
      <c r="M35"/>
    </row>
    <row r="36" spans="1:13" x14ac:dyDescent="0.3">
      <c r="A36"/>
      <c r="B36"/>
      <c r="C36"/>
      <c r="D36"/>
      <c r="E36"/>
      <c r="F36"/>
      <c r="G36"/>
      <c r="H36"/>
      <c r="I36"/>
      <c r="J36"/>
      <c r="K36"/>
      <c r="L36"/>
      <c r="M36"/>
    </row>
    <row r="37" spans="1:13" x14ac:dyDescent="0.3">
      <c r="A37"/>
      <c r="B37"/>
      <c r="C37"/>
      <c r="D37"/>
      <c r="E37"/>
      <c r="F37"/>
      <c r="G37"/>
      <c r="H37"/>
      <c r="I37"/>
      <c r="J37"/>
      <c r="K37"/>
      <c r="L37"/>
      <c r="M37"/>
    </row>
    <row r="38" spans="1:13" x14ac:dyDescent="0.3">
      <c r="A38"/>
      <c r="B38"/>
      <c r="C38"/>
      <c r="D38"/>
      <c r="E38"/>
      <c r="F38"/>
      <c r="G38"/>
      <c r="H38"/>
      <c r="I38"/>
      <c r="J38"/>
      <c r="K38"/>
      <c r="L38"/>
      <c r="M38"/>
    </row>
    <row r="39" spans="1:13" x14ac:dyDescent="0.3">
      <c r="A39"/>
      <c r="B39"/>
      <c r="C39"/>
      <c r="D39"/>
      <c r="E39"/>
      <c r="F39"/>
      <c r="G39"/>
      <c r="H39"/>
      <c r="I39"/>
      <c r="J39"/>
      <c r="K39"/>
      <c r="L39"/>
      <c r="M39"/>
    </row>
    <row r="40" spans="1:13" x14ac:dyDescent="0.3">
      <c r="A40"/>
      <c r="B40"/>
      <c r="C40"/>
      <c r="D40"/>
      <c r="E40"/>
      <c r="F40"/>
      <c r="G40"/>
      <c r="H40"/>
      <c r="I40"/>
      <c r="J40"/>
      <c r="K40"/>
      <c r="L40"/>
      <c r="M40"/>
    </row>
    <row r="41" spans="1:13" x14ac:dyDescent="0.3">
      <c r="A41"/>
      <c r="B41"/>
      <c r="C41"/>
      <c r="D41"/>
      <c r="E41"/>
      <c r="F41"/>
      <c r="G41"/>
      <c r="H41"/>
      <c r="I41"/>
      <c r="J41"/>
      <c r="K41"/>
      <c r="L41"/>
      <c r="M41"/>
    </row>
    <row r="42" spans="1:13" x14ac:dyDescent="0.3">
      <c r="A42"/>
      <c r="B42"/>
      <c r="C42"/>
      <c r="D42"/>
      <c r="E42"/>
      <c r="F42"/>
      <c r="G42"/>
      <c r="H42"/>
      <c r="I42"/>
      <c r="J42"/>
      <c r="K42"/>
      <c r="L42"/>
      <c r="M42"/>
    </row>
    <row r="43" spans="1:13" x14ac:dyDescent="0.3">
      <c r="A43"/>
      <c r="B43"/>
      <c r="C43"/>
      <c r="D43"/>
      <c r="E43"/>
      <c r="F43"/>
      <c r="G43"/>
      <c r="H43"/>
      <c r="I43"/>
      <c r="J43"/>
      <c r="K43"/>
      <c r="L43"/>
      <c r="M43"/>
    </row>
    <row r="44" spans="1:13" x14ac:dyDescent="0.3">
      <c r="A44"/>
      <c r="B44"/>
      <c r="C44"/>
      <c r="D44"/>
      <c r="E44"/>
      <c r="F44"/>
      <c r="G44"/>
      <c r="H44"/>
      <c r="I44"/>
      <c r="J44"/>
      <c r="K44"/>
      <c r="L44"/>
      <c r="M44"/>
    </row>
    <row r="45" spans="1:13" x14ac:dyDescent="0.3">
      <c r="A45"/>
      <c r="B45"/>
      <c r="C45"/>
      <c r="D45"/>
      <c r="E45"/>
      <c r="F45"/>
      <c r="G45"/>
      <c r="H45"/>
      <c r="I45"/>
      <c r="J45"/>
      <c r="K45"/>
      <c r="L45"/>
      <c r="M45"/>
    </row>
    <row r="46" spans="1:13" x14ac:dyDescent="0.3">
      <c r="A46"/>
      <c r="B46"/>
      <c r="C46"/>
      <c r="D46"/>
      <c r="E46"/>
      <c r="F46"/>
      <c r="G46"/>
      <c r="H46"/>
      <c r="I46"/>
      <c r="J46"/>
      <c r="K46"/>
      <c r="L46"/>
      <c r="M46"/>
    </row>
    <row r="47" spans="1:13" x14ac:dyDescent="0.3">
      <c r="A47"/>
      <c r="B47"/>
      <c r="C47"/>
      <c r="D47"/>
      <c r="E47"/>
      <c r="F47"/>
      <c r="G47"/>
      <c r="H47"/>
      <c r="I47"/>
      <c r="J47"/>
      <c r="K47"/>
      <c r="L47"/>
      <c r="M47"/>
    </row>
    <row r="48" spans="1:13" x14ac:dyDescent="0.3">
      <c r="A48"/>
      <c r="B48"/>
      <c r="C48"/>
      <c r="D48"/>
      <c r="E48"/>
      <c r="F48"/>
      <c r="G48"/>
      <c r="H48"/>
      <c r="I48"/>
      <c r="J48"/>
      <c r="K48"/>
      <c r="L48"/>
      <c r="M48"/>
    </row>
    <row r="54" spans="1:13" x14ac:dyDescent="0.3">
      <c r="A54" s="10" t="s">
        <v>341</v>
      </c>
      <c r="B54" s="10" t="s">
        <v>342</v>
      </c>
      <c r="C54" s="10" t="s">
        <v>343</v>
      </c>
      <c r="D54" s="10" t="s">
        <v>344</v>
      </c>
      <c r="E54" s="10" t="s">
        <v>345</v>
      </c>
      <c r="F54" s="10" t="s">
        <v>346</v>
      </c>
      <c r="G54" s="10" t="s">
        <v>347</v>
      </c>
      <c r="H54" s="10" t="s">
        <v>348</v>
      </c>
      <c r="I54" s="10" t="s">
        <v>349</v>
      </c>
      <c r="J54" s="10" t="s">
        <v>350</v>
      </c>
      <c r="K54" s="10" t="s">
        <v>351</v>
      </c>
      <c r="L54" s="10" t="s">
        <v>352</v>
      </c>
      <c r="M54" s="10" t="s">
        <v>353</v>
      </c>
    </row>
    <row r="55" spans="1:13" x14ac:dyDescent="0.3">
      <c r="D55" s="19"/>
      <c r="E55" s="19"/>
      <c r="F55" s="19"/>
      <c r="G55" s="19"/>
      <c r="H55" s="19"/>
      <c r="I55" s="19"/>
      <c r="J55" s="19"/>
      <c r="K55" s="19"/>
      <c r="L55" s="19"/>
      <c r="M55" s="19"/>
    </row>
    <row r="56" spans="1:13" x14ac:dyDescent="0.3">
      <c r="D56" s="19"/>
      <c r="E56" s="19"/>
      <c r="F56" s="19"/>
      <c r="G56" s="19"/>
      <c r="H56" s="19"/>
      <c r="I56" s="19"/>
      <c r="J56" s="19"/>
      <c r="K56" s="19"/>
      <c r="L56" s="19"/>
      <c r="M56" s="19"/>
    </row>
    <row r="57" spans="1:13" x14ac:dyDescent="0.3">
      <c r="D57" s="19"/>
      <c r="E57" s="19"/>
      <c r="F57" s="19"/>
      <c r="G57" s="19"/>
      <c r="H57" s="19"/>
      <c r="I57" s="19"/>
      <c r="J57" s="19"/>
      <c r="K57" s="19"/>
      <c r="L57" s="19"/>
      <c r="M57" s="19"/>
    </row>
    <row r="58" spans="1:13" x14ac:dyDescent="0.3">
      <c r="D58" s="19"/>
      <c r="E58" s="19"/>
      <c r="F58" s="19"/>
      <c r="G58" s="19"/>
      <c r="H58" s="19"/>
      <c r="I58" s="19"/>
      <c r="J58" s="19"/>
      <c r="K58" s="19"/>
      <c r="L58" s="19"/>
      <c r="M58" s="19"/>
    </row>
    <row r="59" spans="1:13" x14ac:dyDescent="0.3">
      <c r="D59" s="19"/>
      <c r="E59" s="19"/>
      <c r="F59" s="19"/>
      <c r="G59" s="19"/>
      <c r="H59" s="19"/>
      <c r="I59" s="19"/>
      <c r="J59" s="19"/>
      <c r="K59" s="19"/>
      <c r="L59" s="19"/>
      <c r="M59" s="19"/>
    </row>
    <row r="60" spans="1:13" x14ac:dyDescent="0.3">
      <c r="D60" s="19"/>
      <c r="E60" s="19"/>
      <c r="F60" s="19"/>
      <c r="G60" s="19"/>
      <c r="H60" s="19"/>
      <c r="I60" s="19"/>
      <c r="J60" s="19"/>
      <c r="K60" s="19"/>
      <c r="L60" s="19"/>
      <c r="M60" s="19"/>
    </row>
    <row r="61" spans="1:13" x14ac:dyDescent="0.3">
      <c r="D61" s="19"/>
      <c r="E61" s="19"/>
      <c r="F61" s="19"/>
      <c r="G61" s="19"/>
      <c r="H61" s="19"/>
      <c r="I61" s="19"/>
      <c r="J61" s="19"/>
      <c r="K61" s="19"/>
      <c r="L61" s="19"/>
      <c r="M61" s="19"/>
    </row>
  </sheetData>
  <phoneticPr fontId="16" type="noConversion"/>
  <pageMargins left="0.7" right="0.7" top="0.75" bottom="0.75" header="0.3" footer="0.3"/>
  <pageSetup paperSize="9" orientation="portrait" horizontalDpi="300" verticalDpi="300" r:id="rId1"/>
  <tableParts count="3">
    <tablePart r:id="rId2"/>
    <tablePart r:id="rId3"/>
    <tablePart r:id="rId4"/>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9F701C-D17C-4EE7-8EBF-6CDD5B004F7F}">
  <sheetPr codeName="Sheet1"/>
  <dimension ref="A1:AQ54"/>
  <sheetViews>
    <sheetView tabSelected="1" topLeftCell="I9" zoomScale="36" zoomScaleNormal="55" workbookViewId="0">
      <selection activeCell="W23" sqref="W23"/>
    </sheetView>
  </sheetViews>
  <sheetFormatPr defaultColWidth="10.69921875" defaultRowHeight="20.5" x14ac:dyDescent="0.3"/>
  <cols>
    <col min="1" max="1" width="8.19921875" style="36" customWidth="1"/>
    <col min="2" max="2" width="40.69921875" style="36" bestFit="1" customWidth="1"/>
    <col min="3" max="3" width="1.796875" style="36" customWidth="1"/>
    <col min="4" max="4" width="3.5" style="36" customWidth="1"/>
    <col min="5" max="5" width="50.69921875" style="36" customWidth="1"/>
    <col min="6" max="6" width="9.09765625" style="36" customWidth="1"/>
    <col min="7" max="7" width="15.19921875" style="36" customWidth="1"/>
    <col min="8" max="8" width="23.296875" style="36" bestFit="1" customWidth="1"/>
    <col min="9" max="9" width="29.296875" style="36" customWidth="1"/>
    <col min="10" max="10" width="10.5" style="36" customWidth="1"/>
    <col min="11" max="11" width="34.19921875" style="36" bestFit="1" customWidth="1"/>
    <col min="12" max="12" width="2.69921875" style="36" customWidth="1"/>
    <col min="13" max="13" width="3.296875" style="36" customWidth="1"/>
    <col min="14" max="14" width="53.59765625" style="36" bestFit="1" customWidth="1"/>
    <col min="15" max="16" width="5" style="36" customWidth="1"/>
    <col min="17" max="17" width="10.296875" style="36" customWidth="1"/>
    <col min="18" max="18" width="8.796875" style="36" customWidth="1"/>
    <col min="19" max="19" width="5.19921875" style="36" customWidth="1"/>
    <col min="20" max="20" width="44.09765625" style="36" customWidth="1"/>
    <col min="21" max="21" width="2.19921875" style="36" customWidth="1"/>
    <col min="22" max="22" width="42.5" style="36" customWidth="1"/>
    <col min="23" max="23" width="48" style="36" customWidth="1"/>
    <col min="24" max="24" width="7.796875" style="36" customWidth="1"/>
    <col min="25" max="25" width="53.5" style="36" customWidth="1"/>
    <col min="26" max="26" width="0.59765625" style="36" customWidth="1"/>
    <col min="27" max="27" width="3.5" style="36" hidden="1" customWidth="1"/>
    <col min="28" max="28" width="2.59765625" style="36" customWidth="1"/>
    <col min="29" max="29" width="44.09765625" style="36" customWidth="1"/>
    <col min="30" max="30" width="5.296875" style="36" customWidth="1"/>
    <col min="31" max="31" width="43.09765625" style="36" customWidth="1"/>
    <col min="32" max="32" width="56.5" style="36" customWidth="1"/>
    <col min="33" max="33" width="5.19921875" style="36" customWidth="1"/>
    <col min="34" max="34" width="66.296875" style="36" customWidth="1"/>
    <col min="35" max="35" width="35.69921875" style="36" bestFit="1" customWidth="1"/>
    <col min="36" max="36" width="10.69921875" style="36"/>
    <col min="37" max="37" width="92.19921875" style="36" bestFit="1" customWidth="1"/>
    <col min="38" max="39" width="10.69921875" style="36"/>
    <col min="40" max="40" width="110.09765625" style="36" bestFit="1" customWidth="1"/>
    <col min="41" max="41" width="48.59765625" style="36" bestFit="1" customWidth="1"/>
    <col min="42" max="42" width="110.09765625" style="36" bestFit="1" customWidth="1"/>
    <col min="43" max="43" width="43.59765625" style="36" bestFit="1" customWidth="1"/>
    <col min="44" max="16384" width="10.69921875" style="36"/>
  </cols>
  <sheetData>
    <row r="1" spans="1:43" ht="26" customHeight="1" x14ac:dyDescent="0.3">
      <c r="A1" s="190" t="s">
        <v>365</v>
      </c>
      <c r="B1" s="190"/>
      <c r="C1" s="190"/>
      <c r="D1" s="190"/>
      <c r="E1" s="190"/>
      <c r="F1" s="190"/>
      <c r="G1" s="190"/>
      <c r="H1" s="190"/>
      <c r="I1" s="190"/>
      <c r="J1" s="190"/>
      <c r="K1" s="190"/>
      <c r="L1" s="190"/>
      <c r="M1" s="190"/>
      <c r="N1" s="190"/>
      <c r="O1" s="190"/>
      <c r="P1" s="190"/>
      <c r="Q1" s="190"/>
      <c r="S1" s="191" t="s">
        <v>331</v>
      </c>
      <c r="T1" s="191"/>
      <c r="U1" s="191"/>
      <c r="V1" s="191"/>
      <c r="W1" s="191"/>
      <c r="X1" s="191"/>
      <c r="Y1" s="191"/>
      <c r="Z1" s="191"/>
      <c r="AA1" s="191"/>
      <c r="AB1" s="191"/>
      <c r="AC1" s="191"/>
      <c r="AD1" s="191"/>
      <c r="AE1" s="163"/>
      <c r="AF1" s="163"/>
      <c r="AG1" s="163"/>
    </row>
    <row r="2" spans="1:43" ht="21" customHeight="1" x14ac:dyDescent="0.3">
      <c r="A2" s="190"/>
      <c r="B2" s="190"/>
      <c r="C2" s="190"/>
      <c r="D2" s="190"/>
      <c r="E2" s="190"/>
      <c r="F2" s="190"/>
      <c r="G2" s="190"/>
      <c r="H2" s="190"/>
      <c r="I2" s="190"/>
      <c r="J2" s="190"/>
      <c r="K2" s="190"/>
      <c r="L2" s="190"/>
      <c r="M2" s="190"/>
      <c r="N2" s="190"/>
      <c r="O2" s="190"/>
      <c r="P2" s="190"/>
      <c r="Q2" s="190"/>
      <c r="S2" s="191"/>
      <c r="T2" s="191"/>
      <c r="U2" s="191"/>
      <c r="V2" s="191"/>
      <c r="W2" s="191"/>
      <c r="X2" s="191"/>
      <c r="Y2" s="191"/>
      <c r="Z2" s="191"/>
      <c r="AA2" s="191"/>
      <c r="AB2" s="191"/>
      <c r="AC2" s="191"/>
      <c r="AD2" s="191"/>
      <c r="AE2" s="163"/>
      <c r="AF2" s="163"/>
      <c r="AG2" s="163"/>
      <c r="AN2" s="37" t="s">
        <v>175</v>
      </c>
      <c r="AO2" s="37"/>
      <c r="AP2" s="37"/>
      <c r="AQ2" s="37"/>
    </row>
    <row r="3" spans="1:43" ht="21" customHeight="1" x14ac:dyDescent="0.3">
      <c r="A3" s="190"/>
      <c r="B3" s="190"/>
      <c r="C3" s="190"/>
      <c r="D3" s="190"/>
      <c r="E3" s="190"/>
      <c r="F3" s="190"/>
      <c r="G3" s="190"/>
      <c r="H3" s="190"/>
      <c r="I3" s="190"/>
      <c r="J3" s="190"/>
      <c r="K3" s="190"/>
      <c r="L3" s="190"/>
      <c r="M3" s="190"/>
      <c r="N3" s="190"/>
      <c r="O3" s="190"/>
      <c r="P3" s="190"/>
      <c r="Q3" s="190"/>
      <c r="S3" s="163"/>
      <c r="T3" s="33"/>
      <c r="U3" s="33"/>
      <c r="V3" s="33"/>
      <c r="W3" s="33"/>
      <c r="X3" s="33"/>
      <c r="Y3" s="33"/>
      <c r="Z3" s="33"/>
      <c r="AA3" s="33"/>
      <c r="AB3" s="33"/>
      <c r="AC3" s="33"/>
      <c r="AD3" s="163"/>
      <c r="AE3" s="179" t="s">
        <v>368</v>
      </c>
      <c r="AF3" s="179"/>
      <c r="AG3" s="163"/>
      <c r="AN3" s="38" t="s">
        <v>279</v>
      </c>
      <c r="AO3" s="38" t="s">
        <v>243</v>
      </c>
      <c r="AP3" s="38" t="s">
        <v>245</v>
      </c>
      <c r="AQ3" s="38" t="s">
        <v>244</v>
      </c>
    </row>
    <row r="4" spans="1:43" ht="21" x14ac:dyDescent="0.3">
      <c r="A4" s="35"/>
      <c r="B4" s="64"/>
      <c r="C4" s="64"/>
      <c r="D4" s="70"/>
      <c r="E4" s="95"/>
      <c r="F4" s="95"/>
      <c r="G4" s="95"/>
      <c r="H4" s="95"/>
      <c r="I4" s="27"/>
      <c r="J4" s="35"/>
      <c r="K4" s="61"/>
      <c r="L4" s="61"/>
      <c r="M4" s="72"/>
      <c r="N4" s="39"/>
      <c r="O4" s="39"/>
      <c r="P4" s="27"/>
      <c r="Q4" s="35"/>
      <c r="S4" s="163"/>
      <c r="T4" s="180" t="s">
        <v>321</v>
      </c>
      <c r="U4" s="180"/>
      <c r="V4" s="180"/>
      <c r="W4" s="180"/>
      <c r="X4" s="180"/>
      <c r="Y4" s="180"/>
      <c r="Z4" s="180"/>
      <c r="AA4" s="180"/>
      <c r="AB4" s="180"/>
      <c r="AC4" s="180"/>
      <c r="AD4" s="164"/>
      <c r="AE4" s="180" t="s">
        <v>367</v>
      </c>
      <c r="AF4" s="180"/>
      <c r="AG4" s="163"/>
      <c r="AN4" s="40" t="s">
        <v>272</v>
      </c>
      <c r="AO4" s="40" t="s">
        <v>272</v>
      </c>
      <c r="AP4" s="40" t="s">
        <v>272</v>
      </c>
      <c r="AQ4" s="40" t="s">
        <v>276</v>
      </c>
    </row>
    <row r="5" spans="1:43" ht="21" x14ac:dyDescent="0.3">
      <c r="A5" s="35"/>
      <c r="B5" s="62" t="s">
        <v>282</v>
      </c>
      <c r="C5" s="62"/>
      <c r="D5" s="71"/>
      <c r="E5" s="154"/>
      <c r="F5" s="26"/>
      <c r="G5" s="26"/>
      <c r="H5" s="26"/>
      <c r="I5" s="26"/>
      <c r="J5" s="35"/>
      <c r="K5" s="62" t="s">
        <v>290</v>
      </c>
      <c r="L5" s="62"/>
      <c r="M5" s="71"/>
      <c r="N5" s="41" t="s">
        <v>190</v>
      </c>
      <c r="O5" s="42"/>
      <c r="P5" s="73"/>
      <c r="Q5" s="35"/>
      <c r="S5" s="163"/>
      <c r="T5" s="34" t="s">
        <v>322</v>
      </c>
      <c r="U5" s="34"/>
      <c r="V5" s="34" t="s">
        <v>327</v>
      </c>
      <c r="W5" s="33"/>
      <c r="X5" s="180" t="s">
        <v>324</v>
      </c>
      <c r="Y5" s="180"/>
      <c r="Z5" s="34"/>
      <c r="AA5" s="34"/>
      <c r="AB5" s="180" t="s">
        <v>326</v>
      </c>
      <c r="AC5" s="180"/>
      <c r="AD5" s="165"/>
      <c r="AE5" s="180" t="s">
        <v>369</v>
      </c>
      <c r="AF5" s="180"/>
      <c r="AG5" s="163"/>
      <c r="AN5" s="40" t="s">
        <v>271</v>
      </c>
      <c r="AO5" s="40" t="s">
        <v>271</v>
      </c>
      <c r="AP5" s="40" t="s">
        <v>271</v>
      </c>
      <c r="AQ5" s="40" t="s">
        <v>277</v>
      </c>
    </row>
    <row r="6" spans="1:43" ht="21" x14ac:dyDescent="0.3">
      <c r="A6" s="35"/>
      <c r="B6" s="62"/>
      <c r="C6" s="62"/>
      <c r="D6" s="71"/>
      <c r="E6" s="31"/>
      <c r="F6" s="31"/>
      <c r="G6" s="27"/>
      <c r="H6" s="27"/>
      <c r="I6" s="27"/>
      <c r="J6" s="35"/>
      <c r="K6" s="62"/>
      <c r="L6" s="62"/>
      <c r="M6" s="71"/>
      <c r="N6" s="41" t="s">
        <v>121</v>
      </c>
      <c r="O6" s="43"/>
      <c r="P6" s="27"/>
      <c r="Q6" s="35"/>
      <c r="S6" s="163"/>
      <c r="T6" s="34" t="s">
        <v>323</v>
      </c>
      <c r="U6" s="34"/>
      <c r="V6" s="34" t="s">
        <v>328</v>
      </c>
      <c r="W6" s="34"/>
      <c r="X6" s="180" t="s">
        <v>325</v>
      </c>
      <c r="Y6" s="180"/>
      <c r="Z6" s="34"/>
      <c r="AA6" s="34"/>
      <c r="AB6" s="34"/>
      <c r="AC6" s="34"/>
      <c r="AD6" s="165"/>
      <c r="AE6" s="180"/>
      <c r="AF6" s="180"/>
      <c r="AG6" s="163"/>
      <c r="AN6" s="40" t="s">
        <v>273</v>
      </c>
      <c r="AO6" s="40" t="s">
        <v>273</v>
      </c>
      <c r="AP6" s="40"/>
      <c r="AQ6" s="40"/>
    </row>
    <row r="7" spans="1:43" ht="21" x14ac:dyDescent="0.3">
      <c r="A7" s="35"/>
      <c r="B7" s="62" t="s">
        <v>283</v>
      </c>
      <c r="C7" s="62"/>
      <c r="D7" s="71"/>
      <c r="E7" s="154"/>
      <c r="F7" s="26"/>
      <c r="G7" s="26"/>
      <c r="H7" s="26"/>
      <c r="I7" s="68"/>
      <c r="J7" s="35"/>
      <c r="K7" s="63"/>
      <c r="L7" s="63"/>
      <c r="M7" s="69"/>
      <c r="N7" s="44" t="s">
        <v>123</v>
      </c>
      <c r="O7" s="45"/>
      <c r="P7" s="27"/>
      <c r="Q7" s="35"/>
      <c r="S7" s="163"/>
      <c r="T7" s="180"/>
      <c r="U7" s="180"/>
      <c r="V7" s="180"/>
      <c r="W7" s="180"/>
      <c r="X7" s="180"/>
      <c r="Y7" s="180"/>
      <c r="Z7" s="180"/>
      <c r="AA7" s="180"/>
      <c r="AB7" s="180"/>
      <c r="AC7" s="180"/>
      <c r="AD7" s="165"/>
      <c r="AE7" s="178"/>
      <c r="AF7" s="178"/>
      <c r="AG7" s="163"/>
      <c r="AN7" s="40" t="s">
        <v>274</v>
      </c>
      <c r="AO7" s="40" t="s">
        <v>274</v>
      </c>
      <c r="AP7" s="40"/>
      <c r="AQ7" s="40"/>
    </row>
    <row r="8" spans="1:43" ht="21" x14ac:dyDescent="0.3">
      <c r="A8" s="35"/>
      <c r="B8" s="63"/>
      <c r="C8" s="63"/>
      <c r="D8" s="69"/>
      <c r="E8" s="31"/>
      <c r="F8" s="31"/>
      <c r="G8" s="27"/>
      <c r="H8" s="27"/>
      <c r="I8" s="27"/>
      <c r="J8" s="35"/>
      <c r="K8" s="63"/>
      <c r="L8" s="63"/>
      <c r="M8" s="69"/>
      <c r="N8" s="41" t="s">
        <v>124</v>
      </c>
      <c r="O8" s="43"/>
      <c r="P8" s="27"/>
      <c r="Q8" s="35"/>
      <c r="S8" s="165"/>
      <c r="T8" s="180" t="s">
        <v>336</v>
      </c>
      <c r="U8" s="180"/>
      <c r="V8" s="180"/>
      <c r="W8" s="180"/>
      <c r="X8" s="180"/>
      <c r="Y8" s="180"/>
      <c r="Z8" s="180"/>
      <c r="AA8" s="180"/>
      <c r="AB8" s="180"/>
      <c r="AC8" s="180"/>
      <c r="AD8" s="165"/>
      <c r="AE8" s="178"/>
      <c r="AF8" s="178"/>
      <c r="AG8" s="163"/>
      <c r="AN8" s="40" t="s">
        <v>275</v>
      </c>
      <c r="AO8" s="40" t="s">
        <v>275</v>
      </c>
      <c r="AP8" s="40"/>
      <c r="AQ8" s="40"/>
    </row>
    <row r="9" spans="1:43" ht="21" x14ac:dyDescent="0.3">
      <c r="A9" s="35"/>
      <c r="B9" s="62" t="s">
        <v>284</v>
      </c>
      <c r="C9" s="62"/>
      <c r="D9" s="71"/>
      <c r="E9" s="155"/>
      <c r="F9" s="68"/>
      <c r="G9" s="90"/>
      <c r="H9" s="90"/>
      <c r="I9" s="68"/>
      <c r="J9" s="35"/>
      <c r="K9" s="63"/>
      <c r="L9" s="63"/>
      <c r="M9" s="69"/>
      <c r="N9" s="41" t="s">
        <v>125</v>
      </c>
      <c r="O9" s="43"/>
      <c r="P9" s="27"/>
      <c r="Q9" s="35"/>
      <c r="S9" s="164"/>
      <c r="T9" s="180" t="s">
        <v>366</v>
      </c>
      <c r="U9" s="180"/>
      <c r="V9" s="180"/>
      <c r="W9" s="180"/>
      <c r="X9" s="180"/>
      <c r="Y9" s="180"/>
      <c r="Z9" s="180"/>
      <c r="AA9" s="180"/>
      <c r="AB9" s="180"/>
      <c r="AC9" s="180"/>
      <c r="AD9" s="165"/>
      <c r="AE9" s="178"/>
      <c r="AF9" s="178"/>
      <c r="AG9" s="163"/>
      <c r="AN9" s="46"/>
      <c r="AO9" s="46"/>
      <c r="AP9" s="46"/>
      <c r="AQ9" s="46"/>
    </row>
    <row r="10" spans="1:43" ht="21" x14ac:dyDescent="0.3">
      <c r="A10" s="35"/>
      <c r="B10" s="62"/>
      <c r="C10" s="62"/>
      <c r="D10" s="71"/>
      <c r="E10" s="31"/>
      <c r="F10" s="31"/>
      <c r="G10" s="26"/>
      <c r="H10" s="26"/>
      <c r="I10" s="26"/>
      <c r="J10" s="35"/>
      <c r="K10" s="63"/>
      <c r="L10" s="63"/>
      <c r="M10" s="69"/>
      <c r="N10" s="41" t="s">
        <v>191</v>
      </c>
      <c r="O10" s="43"/>
      <c r="P10" s="27"/>
      <c r="Q10" s="35"/>
      <c r="S10" s="164"/>
      <c r="T10" s="180" t="s">
        <v>364</v>
      </c>
      <c r="U10" s="180"/>
      <c r="V10" s="180"/>
      <c r="W10" s="180"/>
      <c r="X10" s="180"/>
      <c r="Y10" s="180"/>
      <c r="Z10" s="180"/>
      <c r="AA10" s="180"/>
      <c r="AB10" s="180"/>
      <c r="AC10" s="180"/>
      <c r="AD10" s="164"/>
      <c r="AE10" s="178"/>
      <c r="AF10" s="178"/>
      <c r="AG10" s="163"/>
      <c r="AN10" s="66" t="s">
        <v>296</v>
      </c>
      <c r="AO10" s="67"/>
      <c r="AP10" s="67"/>
      <c r="AQ10" s="67"/>
    </row>
    <row r="11" spans="1:43" ht="21" x14ac:dyDescent="0.3">
      <c r="A11" s="35"/>
      <c r="B11" s="62" t="s">
        <v>286</v>
      </c>
      <c r="C11" s="62"/>
      <c r="D11" s="71"/>
      <c r="E11" s="41" t="s">
        <v>223</v>
      </c>
      <c r="F11" s="43"/>
      <c r="G11" s="27"/>
      <c r="H11" s="27" t="str">
        <f>VLOOKUP(E11, VegT[], 3, FALSE)</f>
        <v>ㅤ</v>
      </c>
      <c r="I11" s="27"/>
      <c r="J11" s="35"/>
      <c r="K11" s="63"/>
      <c r="L11" s="63"/>
      <c r="M11" s="69"/>
      <c r="N11" s="41" t="s">
        <v>127</v>
      </c>
      <c r="O11" s="43"/>
      <c r="P11" s="27"/>
      <c r="Q11" s="35"/>
      <c r="S11" s="164"/>
      <c r="T11" s="180"/>
      <c r="U11" s="180"/>
      <c r="V11" s="180"/>
      <c r="W11" s="180"/>
      <c r="X11" s="180"/>
      <c r="Y11" s="180"/>
      <c r="Z11" s="180"/>
      <c r="AA11" s="180"/>
      <c r="AB11" s="180"/>
      <c r="AC11" s="180"/>
      <c r="AD11" s="164"/>
      <c r="AE11" s="178"/>
      <c r="AF11" s="178"/>
      <c r="AG11" s="163"/>
      <c r="AN11" s="38" t="s">
        <v>332</v>
      </c>
      <c r="AO11" s="38" t="s">
        <v>245</v>
      </c>
      <c r="AP11" s="38" t="s">
        <v>244</v>
      </c>
      <c r="AQ11" s="38" t="s">
        <v>267</v>
      </c>
    </row>
    <row r="12" spans="1:43" ht="21" x14ac:dyDescent="0.3">
      <c r="A12" s="35"/>
      <c r="B12" s="63"/>
      <c r="C12" s="63"/>
      <c r="D12" s="69"/>
      <c r="E12" s="41" t="s">
        <v>252</v>
      </c>
      <c r="F12" s="43"/>
      <c r="G12" s="27"/>
      <c r="H12" s="27" t="str">
        <f>VLOOKUP(E12, VegT[], 3, FALSE)</f>
        <v>ㅤ</v>
      </c>
      <c r="I12" s="27"/>
      <c r="J12" s="35"/>
      <c r="K12" s="63"/>
      <c r="L12" s="63"/>
      <c r="M12" s="69"/>
      <c r="N12" s="41" t="s">
        <v>192</v>
      </c>
      <c r="O12" s="43"/>
      <c r="P12" s="27"/>
      <c r="Q12" s="35"/>
      <c r="S12" s="164"/>
      <c r="T12" s="180" t="s">
        <v>329</v>
      </c>
      <c r="U12" s="180"/>
      <c r="V12" s="180"/>
      <c r="W12" s="180"/>
      <c r="X12" s="180"/>
      <c r="Y12" s="180"/>
      <c r="Z12" s="180"/>
      <c r="AA12" s="180"/>
      <c r="AB12" s="180"/>
      <c r="AC12" s="180"/>
      <c r="AD12" s="164"/>
      <c r="AE12" s="178"/>
      <c r="AF12" s="178"/>
      <c r="AG12" s="163"/>
      <c r="AL12" s="46"/>
      <c r="AM12" s="46"/>
      <c r="AN12" s="40" t="s">
        <v>121</v>
      </c>
      <c r="AO12" s="40" t="s">
        <v>127</v>
      </c>
      <c r="AP12" s="40" t="s">
        <v>270</v>
      </c>
      <c r="AQ12" s="40" t="s">
        <v>197</v>
      </c>
    </row>
    <row r="13" spans="1:43" ht="21" x14ac:dyDescent="0.3">
      <c r="A13" s="35"/>
      <c r="B13" s="63"/>
      <c r="C13" s="63"/>
      <c r="D13" s="69"/>
      <c r="E13" s="41" t="s">
        <v>219</v>
      </c>
      <c r="F13" s="43"/>
      <c r="G13" s="27"/>
      <c r="H13" s="27" t="str">
        <f>VLOOKUP(E13, VegT[], 3, FALSE)</f>
        <v>ㅤ</v>
      </c>
      <c r="I13" s="27"/>
      <c r="J13" s="35"/>
      <c r="K13" s="63"/>
      <c r="L13" s="63"/>
      <c r="M13" s="69"/>
      <c r="N13" s="41" t="s">
        <v>193</v>
      </c>
      <c r="O13" s="43"/>
      <c r="P13" s="27"/>
      <c r="Q13" s="35"/>
      <c r="S13" s="164"/>
      <c r="T13" s="180" t="s">
        <v>330</v>
      </c>
      <c r="U13" s="180"/>
      <c r="V13" s="180"/>
      <c r="W13" s="180"/>
      <c r="X13" s="180"/>
      <c r="Y13" s="180"/>
      <c r="Z13" s="180"/>
      <c r="AA13" s="180"/>
      <c r="AB13" s="180"/>
      <c r="AC13" s="180"/>
      <c r="AD13" s="164"/>
      <c r="AE13" s="178"/>
      <c r="AF13" s="178"/>
      <c r="AG13" s="163"/>
      <c r="AL13" s="46"/>
      <c r="AM13" s="46"/>
      <c r="AN13" s="40" t="s">
        <v>122</v>
      </c>
      <c r="AO13" s="40" t="s">
        <v>136</v>
      </c>
      <c r="AP13" s="40" t="s">
        <v>121</v>
      </c>
      <c r="AQ13" s="40" t="s">
        <v>198</v>
      </c>
    </row>
    <row r="14" spans="1:43" ht="21" x14ac:dyDescent="0.3">
      <c r="A14" s="35"/>
      <c r="B14" s="63"/>
      <c r="C14" s="63"/>
      <c r="D14" s="69"/>
      <c r="E14" s="44" t="s">
        <v>218</v>
      </c>
      <c r="F14" s="45"/>
      <c r="G14" s="27"/>
      <c r="H14" s="28" t="str">
        <f>VLOOKUP(E14, VegT[], 3, FALSE)</f>
        <v>ㅤ</v>
      </c>
      <c r="I14" s="27"/>
      <c r="J14" s="35"/>
      <c r="K14" s="63"/>
      <c r="L14" s="63"/>
      <c r="M14" s="69"/>
      <c r="N14" s="41" t="s">
        <v>194</v>
      </c>
      <c r="O14" s="43"/>
      <c r="P14" s="27"/>
      <c r="Q14" s="35"/>
      <c r="S14" s="163"/>
      <c r="T14" s="178"/>
      <c r="U14" s="178"/>
      <c r="V14" s="178"/>
      <c r="W14" s="178"/>
      <c r="X14" s="178"/>
      <c r="Y14" s="178"/>
      <c r="Z14" s="178"/>
      <c r="AA14" s="178"/>
      <c r="AB14" s="178"/>
      <c r="AC14" s="178"/>
      <c r="AD14" s="164"/>
      <c r="AE14" s="178"/>
      <c r="AF14" s="178"/>
      <c r="AG14" s="163"/>
      <c r="AL14" s="46"/>
      <c r="AM14" s="46"/>
      <c r="AN14" s="40" t="s">
        <v>123</v>
      </c>
      <c r="AO14" s="40" t="s">
        <v>131</v>
      </c>
      <c r="AP14" s="40" t="s">
        <v>136</v>
      </c>
      <c r="AQ14" s="40" t="s">
        <v>199</v>
      </c>
    </row>
    <row r="15" spans="1:43" ht="21" x14ac:dyDescent="0.3">
      <c r="A15" s="35"/>
      <c r="B15" s="63"/>
      <c r="C15" s="63"/>
      <c r="D15" s="69"/>
      <c r="E15" s="41" t="s">
        <v>280</v>
      </c>
      <c r="F15" s="43"/>
      <c r="G15" s="93"/>
      <c r="H15" s="28" t="s">
        <v>304</v>
      </c>
      <c r="I15" s="27"/>
      <c r="J15" s="35"/>
      <c r="K15" s="63"/>
      <c r="L15" s="63"/>
      <c r="M15" s="69"/>
      <c r="N15" s="41" t="s">
        <v>131</v>
      </c>
      <c r="O15" s="43"/>
      <c r="P15" s="27"/>
      <c r="Q15" s="35"/>
      <c r="S15" s="163"/>
      <c r="T15" s="192"/>
      <c r="U15" s="192"/>
      <c r="V15" s="192"/>
      <c r="W15" s="192"/>
      <c r="X15" s="192"/>
      <c r="Y15" s="192"/>
      <c r="Z15" s="192"/>
      <c r="AA15" s="192"/>
      <c r="AB15" s="192"/>
      <c r="AC15" s="192"/>
      <c r="AD15" s="163"/>
      <c r="AE15" s="163"/>
      <c r="AF15" s="163"/>
      <c r="AG15" s="163"/>
      <c r="AL15" s="46"/>
      <c r="AM15" s="46"/>
      <c r="AN15" s="40" t="s">
        <v>124</v>
      </c>
      <c r="AO15" s="40" t="s">
        <v>137</v>
      </c>
      <c r="AP15" s="40" t="s">
        <v>122</v>
      </c>
      <c r="AQ15" s="40" t="s">
        <v>200</v>
      </c>
    </row>
    <row r="16" spans="1:43" ht="21" x14ac:dyDescent="0.3">
      <c r="A16" s="35"/>
      <c r="B16" s="63"/>
      <c r="C16" s="63"/>
      <c r="D16" s="69"/>
      <c r="E16" s="41" t="s">
        <v>212</v>
      </c>
      <c r="F16" s="43"/>
      <c r="G16" s="91"/>
      <c r="H16" s="28" t="s">
        <v>305</v>
      </c>
      <c r="I16" s="28"/>
      <c r="J16" s="35"/>
      <c r="K16" s="63"/>
      <c r="L16" s="63"/>
      <c r="M16" s="69"/>
      <c r="N16" s="41" t="s">
        <v>195</v>
      </c>
      <c r="O16" s="43"/>
      <c r="P16" s="27"/>
      <c r="Q16" s="35"/>
      <c r="AA16" s="36" t="s">
        <v>306</v>
      </c>
      <c r="AL16" s="46"/>
      <c r="AM16" s="46"/>
      <c r="AN16" s="40" t="s">
        <v>125</v>
      </c>
      <c r="AO16" s="40"/>
      <c r="AP16" s="40" t="s">
        <v>123</v>
      </c>
      <c r="AQ16" s="40" t="s">
        <v>201</v>
      </c>
    </row>
    <row r="17" spans="1:43" ht="21" x14ac:dyDescent="0.3">
      <c r="A17" s="35"/>
      <c r="B17" s="63"/>
      <c r="C17" s="63"/>
      <c r="D17" s="69"/>
      <c r="E17" s="41" t="s">
        <v>247</v>
      </c>
      <c r="F17" s="47"/>
      <c r="G17" s="29"/>
      <c r="H17" s="30" t="str">
        <f>VLOOKUP(E17, VegT[], 3, FALSE)</f>
        <v>Strips</v>
      </c>
      <c r="I17" s="158" t="s">
        <v>360</v>
      </c>
      <c r="J17" s="35"/>
      <c r="K17" s="63"/>
      <c r="L17" s="63"/>
      <c r="M17" s="69"/>
      <c r="N17" s="41" t="s">
        <v>132</v>
      </c>
      <c r="O17" s="43"/>
      <c r="P17" s="27"/>
      <c r="Q17" s="35"/>
      <c r="AN17" s="40" t="s">
        <v>126</v>
      </c>
      <c r="AO17" s="40"/>
      <c r="AP17" s="40" t="s">
        <v>125</v>
      </c>
      <c r="AQ17" s="40" t="s">
        <v>202</v>
      </c>
    </row>
    <row r="18" spans="1:43" ht="20" customHeight="1" x14ac:dyDescent="0.3">
      <c r="A18" s="35"/>
      <c r="B18" s="63"/>
      <c r="C18" s="63"/>
      <c r="D18" s="69"/>
      <c r="E18" s="41" t="s">
        <v>278</v>
      </c>
      <c r="F18" s="48"/>
      <c r="G18" s="29"/>
      <c r="H18" s="30" t="str">
        <f>VLOOKUP(E18, VegT[], 3, FALSE)</f>
        <v>Slices</v>
      </c>
      <c r="I18" s="158" t="s">
        <v>361</v>
      </c>
      <c r="J18" s="35"/>
      <c r="K18" s="63"/>
      <c r="L18" s="63"/>
      <c r="M18" s="69"/>
      <c r="N18" s="41" t="s">
        <v>196</v>
      </c>
      <c r="O18" s="43"/>
      <c r="P18" s="27"/>
      <c r="Q18" s="35"/>
      <c r="S18" s="98"/>
      <c r="T18" s="98"/>
      <c r="U18" s="97"/>
      <c r="V18" s="98"/>
      <c r="W18" s="98"/>
      <c r="X18" s="98"/>
      <c r="Y18" s="98"/>
      <c r="Z18" s="98"/>
      <c r="AA18" s="98"/>
      <c r="AB18" s="98"/>
      <c r="AC18" s="98"/>
      <c r="AD18" s="98"/>
      <c r="AE18" s="51"/>
      <c r="AF18" s="51"/>
      <c r="AG18" s="51"/>
      <c r="AH18" s="140"/>
      <c r="AN18" s="40" t="s">
        <v>127</v>
      </c>
      <c r="AO18" s="40"/>
      <c r="AP18" s="40" t="s">
        <v>126</v>
      </c>
      <c r="AQ18" s="40" t="s">
        <v>203</v>
      </c>
    </row>
    <row r="19" spans="1:43" ht="21" customHeight="1" x14ac:dyDescent="0.3">
      <c r="A19" s="35"/>
      <c r="B19" s="63"/>
      <c r="C19" s="63"/>
      <c r="D19" s="69"/>
      <c r="E19" s="41" t="s">
        <v>248</v>
      </c>
      <c r="F19" s="49"/>
      <c r="G19" s="29"/>
      <c r="H19" s="30" t="str">
        <f>VLOOKUP(E19, VegT[], 3, FALSE)</f>
        <v>Rings</v>
      </c>
      <c r="I19" s="158" t="s">
        <v>362</v>
      </c>
      <c r="J19" s="35"/>
      <c r="K19" s="63"/>
      <c r="L19" s="63"/>
      <c r="M19" s="69"/>
      <c r="N19" s="41" t="s">
        <v>134</v>
      </c>
      <c r="O19" s="43"/>
      <c r="P19" s="27"/>
      <c r="Q19" s="35"/>
      <c r="S19" s="98"/>
      <c r="T19" s="98"/>
      <c r="U19" s="98"/>
      <c r="V19" s="181" t="s">
        <v>299</v>
      </c>
      <c r="W19" s="181"/>
      <c r="X19" s="181"/>
      <c r="Y19" s="181"/>
      <c r="Z19" s="98"/>
      <c r="AA19" s="98"/>
      <c r="AB19" s="98"/>
      <c r="AC19" s="98"/>
      <c r="AD19" s="98"/>
      <c r="AE19" s="51"/>
      <c r="AF19" s="51"/>
      <c r="AG19" s="51"/>
      <c r="AH19" s="140"/>
      <c r="AN19" s="40" t="s">
        <v>128</v>
      </c>
      <c r="AO19" s="40"/>
      <c r="AP19" s="40" t="s">
        <v>127</v>
      </c>
      <c r="AQ19" s="40" t="s">
        <v>204</v>
      </c>
    </row>
    <row r="20" spans="1:43" ht="21" customHeight="1" x14ac:dyDescent="0.3">
      <c r="A20" s="35"/>
      <c r="B20" s="63"/>
      <c r="C20" s="63"/>
      <c r="D20" s="69"/>
      <c r="E20" s="41" t="s">
        <v>249</v>
      </c>
      <c r="F20" s="49"/>
      <c r="G20" s="29"/>
      <c r="H20" s="30" t="str">
        <f>VLOOKUP(E20, VegT[], 3, FALSE)</f>
        <v>Rings</v>
      </c>
      <c r="I20" s="158" t="s">
        <v>362</v>
      </c>
      <c r="J20" s="35"/>
      <c r="K20" s="63"/>
      <c r="L20" s="63"/>
      <c r="M20" s="69"/>
      <c r="N20" s="41" t="s">
        <v>135</v>
      </c>
      <c r="O20" s="43"/>
      <c r="P20" s="27"/>
      <c r="Q20" s="35"/>
      <c r="S20" s="98"/>
      <c r="T20" s="98"/>
      <c r="U20" s="98"/>
      <c r="V20" s="181"/>
      <c r="W20" s="181"/>
      <c r="X20" s="181"/>
      <c r="Y20" s="181"/>
      <c r="Z20" s="98"/>
      <c r="AA20" s="98"/>
      <c r="AB20" s="98"/>
      <c r="AC20" s="98"/>
      <c r="AD20" s="98"/>
      <c r="AE20" s="51"/>
      <c r="AF20" s="51"/>
      <c r="AG20" s="51"/>
      <c r="AH20" s="140"/>
      <c r="AN20" s="40" t="s">
        <v>129</v>
      </c>
      <c r="AO20" s="40"/>
      <c r="AP20" s="40" t="s">
        <v>128</v>
      </c>
      <c r="AQ20" s="40" t="s">
        <v>205</v>
      </c>
    </row>
    <row r="21" spans="1:43" ht="21" customHeight="1" x14ac:dyDescent="0.3">
      <c r="A21" s="35"/>
      <c r="B21" s="63"/>
      <c r="C21" s="63"/>
      <c r="D21" s="69"/>
      <c r="E21" s="41" t="s">
        <v>250</v>
      </c>
      <c r="F21" s="49"/>
      <c r="G21" s="29"/>
      <c r="H21" s="30" t="str">
        <f>VLOOKUP(E21, VegT[], 3, FALSE)</f>
        <v>Wheels</v>
      </c>
      <c r="I21" s="158" t="s">
        <v>363</v>
      </c>
      <c r="J21" s="35"/>
      <c r="K21" s="63"/>
      <c r="L21" s="63"/>
      <c r="M21" s="69"/>
      <c r="N21" s="41" t="s">
        <v>136</v>
      </c>
      <c r="O21" s="43"/>
      <c r="P21" s="27"/>
      <c r="Q21" s="35"/>
      <c r="S21" s="51"/>
      <c r="T21" s="98"/>
      <c r="U21" s="98"/>
      <c r="V21" s="181"/>
      <c r="W21" s="181"/>
      <c r="X21" s="181"/>
      <c r="Y21" s="181"/>
      <c r="Z21" s="98"/>
      <c r="AA21" s="98"/>
      <c r="AB21" s="98"/>
      <c r="AC21" s="51"/>
      <c r="AD21" s="51"/>
      <c r="AE21" s="51"/>
      <c r="AF21" s="51"/>
      <c r="AG21" s="51"/>
      <c r="AH21" s="140"/>
      <c r="AN21" s="40" t="s">
        <v>130</v>
      </c>
      <c r="AO21" s="40"/>
      <c r="AP21" s="40" t="s">
        <v>129</v>
      </c>
      <c r="AQ21" s="40" t="s">
        <v>206</v>
      </c>
    </row>
    <row r="22" spans="1:43" ht="21" customHeight="1" x14ac:dyDescent="0.3">
      <c r="A22" s="35"/>
      <c r="B22" s="63"/>
      <c r="C22" s="63"/>
      <c r="D22" s="69"/>
      <c r="E22" s="41" t="s">
        <v>251</v>
      </c>
      <c r="F22" s="39"/>
      <c r="G22" s="29"/>
      <c r="H22" s="30" t="str">
        <f>VLOOKUP(E22, VegT[], 3, FALSE)</f>
        <v>Wheels</v>
      </c>
      <c r="I22" s="158" t="s">
        <v>363</v>
      </c>
      <c r="J22" s="35"/>
      <c r="K22" s="63"/>
      <c r="L22" s="63"/>
      <c r="M22" s="69"/>
      <c r="N22" s="44" t="s">
        <v>138</v>
      </c>
      <c r="O22" s="50"/>
      <c r="P22" s="31"/>
      <c r="Q22" s="35"/>
      <c r="S22" s="51"/>
      <c r="T22" s="51"/>
      <c r="U22" s="97"/>
      <c r="V22" s="98"/>
      <c r="W22" s="98"/>
      <c r="X22" s="98"/>
      <c r="Y22" s="98"/>
      <c r="Z22" s="98"/>
      <c r="AA22" s="98"/>
      <c r="AB22" s="51"/>
      <c r="AC22" s="51"/>
      <c r="AD22" s="51"/>
      <c r="AE22" s="51"/>
      <c r="AF22" s="51"/>
      <c r="AG22" s="51"/>
      <c r="AH22" s="140"/>
      <c r="AN22" s="40" t="s">
        <v>131</v>
      </c>
      <c r="AO22" s="40"/>
      <c r="AP22" s="40" t="s">
        <v>130</v>
      </c>
      <c r="AQ22" s="40" t="s">
        <v>207</v>
      </c>
    </row>
    <row r="23" spans="1:43" ht="21" customHeight="1" x14ac:dyDescent="0.3">
      <c r="A23" s="35"/>
      <c r="B23" s="63"/>
      <c r="C23" s="63"/>
      <c r="D23" s="69"/>
      <c r="E23" s="41" t="s">
        <v>215</v>
      </c>
      <c r="F23" s="43"/>
      <c r="G23" s="27"/>
      <c r="H23" s="27" t="str">
        <f>VLOOKUP(E23, VegT[], 3, FALSE)</f>
        <v>ㅤ</v>
      </c>
      <c r="I23" s="27"/>
      <c r="J23" s="35"/>
      <c r="K23" s="63"/>
      <c r="L23" s="63"/>
      <c r="M23" s="69"/>
      <c r="N23" s="31"/>
      <c r="O23" s="31"/>
      <c r="P23" s="31"/>
      <c r="Q23" s="35"/>
      <c r="S23" s="51"/>
      <c r="T23" s="51"/>
      <c r="U23" s="97"/>
      <c r="V23" s="51"/>
      <c r="W23" s="51"/>
      <c r="X23" s="51"/>
      <c r="Y23" s="51"/>
      <c r="Z23" s="51"/>
      <c r="AA23" s="51"/>
      <c r="AB23" s="51"/>
      <c r="AC23" s="51"/>
      <c r="AD23" s="51"/>
      <c r="AE23" s="51"/>
      <c r="AF23" s="51"/>
      <c r="AG23" s="51"/>
      <c r="AH23" s="140"/>
      <c r="AN23" s="40" t="s">
        <v>132</v>
      </c>
      <c r="AO23" s="40"/>
      <c r="AP23" s="40" t="s">
        <v>132</v>
      </c>
      <c r="AQ23" s="40" t="s">
        <v>208</v>
      </c>
    </row>
    <row r="24" spans="1:43" ht="21" customHeight="1" x14ac:dyDescent="0.3">
      <c r="A24" s="35"/>
      <c r="B24" s="63"/>
      <c r="C24" s="63"/>
      <c r="D24" s="69"/>
      <c r="E24" s="31"/>
      <c r="F24" s="27"/>
      <c r="G24" s="27"/>
      <c r="H24" s="27"/>
      <c r="I24" s="27"/>
      <c r="J24" s="35"/>
      <c r="K24" s="63"/>
      <c r="L24" s="63"/>
      <c r="M24" s="69"/>
      <c r="N24" s="31"/>
      <c r="O24" s="31"/>
      <c r="P24" s="31"/>
      <c r="Q24" s="35"/>
      <c r="S24" s="51"/>
      <c r="T24" s="51"/>
      <c r="U24" s="97"/>
      <c r="V24" s="51"/>
      <c r="W24" s="51"/>
      <c r="X24" s="51"/>
      <c r="Y24" s="51"/>
      <c r="Z24" s="51"/>
      <c r="AA24" s="51"/>
      <c r="AB24" s="51"/>
      <c r="AC24" s="51"/>
      <c r="AD24" s="51"/>
      <c r="AE24" s="51"/>
      <c r="AF24" s="51"/>
      <c r="AG24" s="51"/>
      <c r="AH24" s="140"/>
      <c r="AN24" s="40" t="s">
        <v>133</v>
      </c>
      <c r="AO24" s="40"/>
      <c r="AP24" s="40" t="s">
        <v>133</v>
      </c>
      <c r="AQ24" s="40"/>
    </row>
    <row r="25" spans="1:43" ht="21" customHeight="1" x14ac:dyDescent="0.3">
      <c r="A25" s="35"/>
      <c r="B25" s="61"/>
      <c r="C25" s="61"/>
      <c r="D25" s="72"/>
      <c r="E25" s="27"/>
      <c r="F25" s="27"/>
      <c r="G25" s="27"/>
      <c r="H25" s="94" t="s">
        <v>304</v>
      </c>
      <c r="I25" s="27"/>
      <c r="J25" s="35"/>
      <c r="K25" s="62" t="s">
        <v>292</v>
      </c>
      <c r="L25" s="62"/>
      <c r="M25" s="71"/>
      <c r="N25" s="52" t="s">
        <v>197</v>
      </c>
      <c r="O25" s="53"/>
      <c r="P25" s="27"/>
      <c r="Q25" s="35"/>
      <c r="S25" s="51"/>
      <c r="T25" s="143" t="s">
        <v>300</v>
      </c>
      <c r="U25" s="144"/>
      <c r="V25" s="182" t="str">
        <f>IF(LEN($E$5)&gt;0, $E$5, "")</f>
        <v/>
      </c>
      <c r="W25" s="182"/>
      <c r="X25" s="182"/>
      <c r="Y25" s="182"/>
      <c r="Z25" s="182"/>
      <c r="AA25" s="182"/>
      <c r="AB25" s="182"/>
      <c r="AC25" s="183"/>
      <c r="AD25" s="51"/>
      <c r="AE25" s="187" t="s">
        <v>309</v>
      </c>
      <c r="AF25" s="187"/>
      <c r="AG25" s="51"/>
      <c r="AH25" s="140"/>
      <c r="AN25" s="40" t="s">
        <v>134</v>
      </c>
      <c r="AO25" s="40"/>
      <c r="AP25" s="40" t="s">
        <v>134</v>
      </c>
      <c r="AQ25" s="40"/>
    </row>
    <row r="26" spans="1:43" ht="21" customHeight="1" x14ac:dyDescent="0.3">
      <c r="A26" s="35"/>
      <c r="B26" s="61"/>
      <c r="C26" s="61"/>
      <c r="D26" s="72"/>
      <c r="E26" s="27"/>
      <c r="F26" s="27"/>
      <c r="G26" s="27"/>
      <c r="H26" s="92" t="s">
        <v>305</v>
      </c>
      <c r="I26" s="27"/>
      <c r="J26" s="35"/>
      <c r="K26" s="63"/>
      <c r="L26" s="63"/>
      <c r="M26" s="69"/>
      <c r="N26" s="52" t="s">
        <v>198</v>
      </c>
      <c r="O26" s="54"/>
      <c r="P26" s="31"/>
      <c r="Q26" s="35"/>
      <c r="S26" s="51"/>
      <c r="T26" s="143" t="s">
        <v>301</v>
      </c>
      <c r="U26" s="144"/>
      <c r="V26" s="182" t="str">
        <f>IF(LEN($E$7)&gt;0, $E$7, "")</f>
        <v/>
      </c>
      <c r="W26" s="182"/>
      <c r="X26" s="182"/>
      <c r="Y26" s="182"/>
      <c r="Z26" s="182"/>
      <c r="AA26" s="182"/>
      <c r="AB26" s="182"/>
      <c r="AC26" s="182"/>
      <c r="AD26" s="51"/>
      <c r="AE26" s="187"/>
      <c r="AF26" s="187"/>
      <c r="AG26" s="51"/>
      <c r="AH26" s="140"/>
      <c r="AN26" s="40" t="s">
        <v>135</v>
      </c>
      <c r="AO26" s="40"/>
      <c r="AP26" s="40" t="s">
        <v>135</v>
      </c>
      <c r="AQ26" s="40"/>
    </row>
    <row r="27" spans="1:43" ht="21" customHeight="1" x14ac:dyDescent="0.3">
      <c r="A27" s="35"/>
      <c r="B27" s="62" t="s">
        <v>291</v>
      </c>
      <c r="C27" s="62"/>
      <c r="D27" s="71"/>
      <c r="E27" s="55" t="s">
        <v>264</v>
      </c>
      <c r="F27" s="56"/>
      <c r="G27" s="32"/>
      <c r="H27" s="30" t="str">
        <f>VLOOKUP(E27, CheeseT[], 3, FALSE)</f>
        <v>Slices</v>
      </c>
      <c r="I27" s="27"/>
      <c r="J27" s="35"/>
      <c r="K27" s="61"/>
      <c r="L27" s="61"/>
      <c r="M27" s="72"/>
      <c r="N27" s="52" t="s">
        <v>199</v>
      </c>
      <c r="O27" s="53"/>
      <c r="P27" s="27"/>
      <c r="Q27" s="35"/>
      <c r="S27" s="51"/>
      <c r="T27" s="143"/>
      <c r="U27" s="145"/>
      <c r="V27" s="189"/>
      <c r="W27" s="189"/>
      <c r="X27" s="189"/>
      <c r="Y27" s="189"/>
      <c r="Z27" s="189"/>
      <c r="AA27" s="189"/>
      <c r="AB27" s="189"/>
      <c r="AC27" s="189"/>
      <c r="AD27" s="51"/>
      <c r="AE27" s="161" t="s">
        <v>157</v>
      </c>
      <c r="AF27" s="162">
        <f ca="1">IF(ISNUMBER('Nutritional Info'!D91), 'Nutritional Info'!D91, "")</f>
        <v>0</v>
      </c>
      <c r="AG27" s="51"/>
      <c r="AH27" s="140"/>
      <c r="AN27" s="40" t="s">
        <v>136</v>
      </c>
      <c r="AO27" s="40"/>
      <c r="AP27" s="40" t="s">
        <v>137</v>
      </c>
      <c r="AQ27" s="40"/>
    </row>
    <row r="28" spans="1:43" ht="26" x14ac:dyDescent="0.3">
      <c r="A28" s="35"/>
      <c r="B28" s="61"/>
      <c r="C28" s="61"/>
      <c r="D28" s="72"/>
      <c r="E28" s="52" t="s">
        <v>210</v>
      </c>
      <c r="F28" s="53"/>
      <c r="G28" s="27"/>
      <c r="H28" s="31"/>
      <c r="I28" s="27"/>
      <c r="J28" s="35"/>
      <c r="K28" s="61"/>
      <c r="L28" s="61"/>
      <c r="M28" s="72"/>
      <c r="N28" s="52" t="s">
        <v>200</v>
      </c>
      <c r="O28" s="53"/>
      <c r="P28" s="27"/>
      <c r="Q28" s="35"/>
      <c r="S28" s="51"/>
      <c r="T28" s="143" t="s">
        <v>296</v>
      </c>
      <c r="U28" s="144"/>
      <c r="V28" s="182" t="str">
        <f>IF(LEN($E$9)&gt;0, $E$9, "")</f>
        <v/>
      </c>
      <c r="W28" s="182"/>
      <c r="X28" s="182"/>
      <c r="Y28" s="182"/>
      <c r="Z28" s="182"/>
      <c r="AA28" s="182"/>
      <c r="AB28" s="182"/>
      <c r="AC28" s="183"/>
      <c r="AD28" s="51"/>
      <c r="AE28" s="161" t="s">
        <v>158</v>
      </c>
      <c r="AF28" s="162">
        <f ca="1">IF(ISNUMBER('Nutritional Info'!D92), 'Nutritional Info'!D92, "")</f>
        <v>0</v>
      </c>
      <c r="AG28" s="51"/>
      <c r="AH28" s="140"/>
      <c r="AN28" s="40" t="s">
        <v>137</v>
      </c>
      <c r="AO28" s="40"/>
      <c r="AP28" s="40" t="s">
        <v>138</v>
      </c>
      <c r="AQ28" s="40"/>
    </row>
    <row r="29" spans="1:43" ht="26" x14ac:dyDescent="0.3">
      <c r="A29" s="35"/>
      <c r="B29" s="61"/>
      <c r="C29" s="61"/>
      <c r="D29" s="72"/>
      <c r="E29" s="57" t="s">
        <v>265</v>
      </c>
      <c r="F29" s="58"/>
      <c r="G29" s="59"/>
      <c r="H29" s="30" t="str">
        <f>VLOOKUP(E29, CheeseT[], 3, FALSE)</f>
        <v>Slices</v>
      </c>
      <c r="I29" s="27"/>
      <c r="J29" s="35"/>
      <c r="K29" s="63"/>
      <c r="L29" s="63"/>
      <c r="M29" s="69"/>
      <c r="N29" s="52" t="s">
        <v>201</v>
      </c>
      <c r="O29" s="54"/>
      <c r="P29" s="31"/>
      <c r="Q29" s="35"/>
      <c r="S29" s="51"/>
      <c r="T29" s="143"/>
      <c r="U29" s="144"/>
      <c r="V29" s="184"/>
      <c r="W29" s="184"/>
      <c r="X29" s="184"/>
      <c r="Y29" s="184"/>
      <c r="Z29" s="184"/>
      <c r="AA29" s="184"/>
      <c r="AB29" s="184"/>
      <c r="AC29" s="185"/>
      <c r="AD29" s="51"/>
      <c r="AE29" s="161" t="s">
        <v>159</v>
      </c>
      <c r="AF29" s="162">
        <f ca="1">IF(ISNUMBER('Nutritional Info'!D93), 'Nutritional Info'!D93, "")</f>
        <v>0</v>
      </c>
      <c r="AG29" s="51"/>
      <c r="AH29" s="140"/>
      <c r="AN29" s="40" t="s">
        <v>138</v>
      </c>
      <c r="AO29" s="40"/>
      <c r="AP29" s="40"/>
      <c r="AQ29" s="40"/>
    </row>
    <row r="30" spans="1:43" ht="26" x14ac:dyDescent="0.3">
      <c r="A30" s="35"/>
      <c r="B30" s="61"/>
      <c r="C30" s="61"/>
      <c r="D30" s="72"/>
      <c r="E30" s="27"/>
      <c r="F30" s="27"/>
      <c r="G30" s="27"/>
      <c r="H30" s="27"/>
      <c r="I30" s="27"/>
      <c r="J30" s="35"/>
      <c r="K30" s="61"/>
      <c r="L30" s="61"/>
      <c r="M30" s="72"/>
      <c r="N30" s="52" t="s">
        <v>202</v>
      </c>
      <c r="O30" s="53"/>
      <c r="P30" s="27"/>
      <c r="Q30" s="35"/>
      <c r="S30" s="51"/>
      <c r="T30" s="143" t="s">
        <v>318</v>
      </c>
      <c r="U30" s="144"/>
      <c r="V30" s="182" t="str" cm="1">
        <f t="array" ref="V30">IFERROR(_xlfn.TEXTJOIN(", ",TRUE, _xlfn._xlws.FILTER(DressingCalc[Dressings selected], DressingCalc[TRUE / FALSE]=TRUE)), "")</f>
        <v/>
      </c>
      <c r="W30" s="182"/>
      <c r="X30" s="182"/>
      <c r="Y30" s="182"/>
      <c r="Z30" s="182"/>
      <c r="AA30" s="182"/>
      <c r="AB30" s="182"/>
      <c r="AC30" s="183"/>
      <c r="AD30" s="51"/>
      <c r="AE30" s="161" t="s">
        <v>160</v>
      </c>
      <c r="AF30" s="162">
        <f ca="1">IF(ISNUMBER('Nutritional Info'!D94), 'Nutritional Info'!D94, "")</f>
        <v>0</v>
      </c>
      <c r="AG30" s="51"/>
      <c r="AH30" s="140"/>
      <c r="AN30" s="40" t="s">
        <v>127</v>
      </c>
      <c r="AO30" s="40"/>
      <c r="AP30" s="40"/>
      <c r="AQ30" s="40"/>
    </row>
    <row r="31" spans="1:43" ht="26" x14ac:dyDescent="0.3">
      <c r="A31" s="35"/>
      <c r="B31" s="35"/>
      <c r="C31" s="35"/>
      <c r="D31" s="35"/>
      <c r="E31" s="35"/>
      <c r="F31" s="35"/>
      <c r="G31" s="35"/>
      <c r="H31" s="35"/>
      <c r="I31" s="35"/>
      <c r="J31" s="35"/>
      <c r="K31" s="61"/>
      <c r="L31" s="61"/>
      <c r="M31" s="72"/>
      <c r="N31" s="52" t="s">
        <v>203</v>
      </c>
      <c r="O31" s="53"/>
      <c r="P31" s="27"/>
      <c r="Q31" s="35"/>
      <c r="S31" s="51"/>
      <c r="T31" s="143"/>
      <c r="U31" s="144"/>
      <c r="V31" s="184"/>
      <c r="W31" s="184"/>
      <c r="X31" s="184"/>
      <c r="Y31" s="184"/>
      <c r="Z31" s="184"/>
      <c r="AA31" s="184"/>
      <c r="AB31" s="184"/>
      <c r="AC31" s="185"/>
      <c r="AD31" s="51"/>
      <c r="AE31" s="161" t="s">
        <v>161</v>
      </c>
      <c r="AF31" s="162">
        <f ca="1">IF(ISNUMBER('Nutritional Info'!D95), 'Nutritional Info'!D95, "")</f>
        <v>0</v>
      </c>
      <c r="AG31" s="51"/>
      <c r="AH31" s="140"/>
      <c r="AN31" s="40" t="s">
        <v>131</v>
      </c>
      <c r="AO31" s="40"/>
      <c r="AP31" s="40"/>
      <c r="AQ31" s="40"/>
    </row>
    <row r="32" spans="1:43" ht="26" x14ac:dyDescent="0.3">
      <c r="A32" s="35"/>
      <c r="B32" s="35"/>
      <c r="C32" s="35"/>
      <c r="D32" s="35"/>
      <c r="E32" s="35"/>
      <c r="F32" s="35"/>
      <c r="G32" s="35"/>
      <c r="H32" s="35"/>
      <c r="I32" s="35"/>
      <c r="J32" s="35"/>
      <c r="K32" s="61"/>
      <c r="L32" s="61"/>
      <c r="M32" s="72"/>
      <c r="N32" s="52" t="s">
        <v>204</v>
      </c>
      <c r="O32" s="53"/>
      <c r="P32" s="27"/>
      <c r="Q32" s="35"/>
      <c r="S32" s="51"/>
      <c r="T32" s="143" t="s">
        <v>319</v>
      </c>
      <c r="U32" s="144"/>
      <c r="V32" s="182" t="str" cm="1">
        <f t="array" ref="V32">IFERROR(_xlfn.TEXTJOIN(", ",TRUE, _xlfn._xlws.FILTER(SeasoningCalc[Seasonings selected], SeasoningCalc[TRUE / FALSE]=TRUE)), "")</f>
        <v/>
      </c>
      <c r="W32" s="182"/>
      <c r="X32" s="182"/>
      <c r="Y32" s="182"/>
      <c r="Z32" s="182"/>
      <c r="AA32" s="182"/>
      <c r="AB32" s="182"/>
      <c r="AC32" s="183"/>
      <c r="AD32" s="51"/>
      <c r="AE32" s="161" t="s">
        <v>162</v>
      </c>
      <c r="AF32" s="162">
        <f ca="1">IF(ISNUMBER('Nutritional Info'!D96), 'Nutritional Info'!D96, "")</f>
        <v>0</v>
      </c>
      <c r="AG32" s="51"/>
      <c r="AH32" s="140"/>
      <c r="AN32" s="40" t="s">
        <v>139</v>
      </c>
      <c r="AO32" s="40"/>
      <c r="AP32" s="40"/>
      <c r="AQ32" s="40"/>
    </row>
    <row r="33" spans="1:43" ht="21" customHeight="1" x14ac:dyDescent="0.3">
      <c r="A33" s="35"/>
      <c r="B33" s="35"/>
      <c r="C33" s="35"/>
      <c r="D33" s="35"/>
      <c r="E33" s="141"/>
      <c r="F33" s="141"/>
      <c r="G33" s="141"/>
      <c r="H33" s="35"/>
      <c r="I33" s="35"/>
      <c r="J33" s="35"/>
      <c r="K33" s="61"/>
      <c r="L33" s="61"/>
      <c r="M33" s="72"/>
      <c r="N33" s="52" t="s">
        <v>205</v>
      </c>
      <c r="O33" s="53"/>
      <c r="P33" s="27"/>
      <c r="Q33" s="35"/>
      <c r="S33" s="51"/>
      <c r="T33" s="146"/>
      <c r="U33" s="146"/>
      <c r="V33" s="146"/>
      <c r="W33" s="146"/>
      <c r="X33" s="146"/>
      <c r="Y33" s="146"/>
      <c r="Z33" s="146"/>
      <c r="AA33" s="146"/>
      <c r="AB33" s="146"/>
      <c r="AC33" s="146"/>
      <c r="AD33" s="51"/>
      <c r="AE33" s="161" t="s">
        <v>163</v>
      </c>
      <c r="AF33" s="162">
        <f ca="1">IF(ISNUMBER('Nutritional Info'!D97), 'Nutritional Info'!D97, "")</f>
        <v>0</v>
      </c>
      <c r="AG33" s="51"/>
      <c r="AH33" s="140"/>
      <c r="AN33" s="40" t="s">
        <v>137</v>
      </c>
      <c r="AO33" s="40"/>
      <c r="AP33" s="40"/>
      <c r="AQ33" s="40"/>
    </row>
    <row r="34" spans="1:43" ht="23.5" customHeight="1" x14ac:dyDescent="0.3">
      <c r="A34" s="35"/>
      <c r="B34" s="35"/>
      <c r="C34" s="35"/>
      <c r="D34" s="35"/>
      <c r="E34" s="141"/>
      <c r="F34" s="141"/>
      <c r="G34" s="141"/>
      <c r="H34" s="35"/>
      <c r="I34" s="35"/>
      <c r="J34" s="35"/>
      <c r="K34" s="61"/>
      <c r="L34" s="61"/>
      <c r="M34" s="72"/>
      <c r="N34" s="52" t="s">
        <v>206</v>
      </c>
      <c r="O34" s="53"/>
      <c r="P34" s="27"/>
      <c r="Q34" s="35"/>
      <c r="S34" s="51"/>
      <c r="T34" s="143" t="s">
        <v>239</v>
      </c>
      <c r="U34" s="147"/>
      <c r="V34" s="147" t="s">
        <v>306</v>
      </c>
      <c r="W34" s="148" t="s">
        <v>266</v>
      </c>
      <c r="X34" s="188" t="s">
        <v>263</v>
      </c>
      <c r="Y34" s="188"/>
      <c r="Z34" s="188"/>
      <c r="AA34" s="188"/>
      <c r="AB34" s="148"/>
      <c r="AC34" s="149" t="s">
        <v>306</v>
      </c>
      <c r="AD34" s="51"/>
      <c r="AE34" s="161" t="s">
        <v>164</v>
      </c>
      <c r="AF34" s="162">
        <f ca="1">IF(ISNUMBER('Nutritional Info'!D98), 'Nutritional Info'!D98, "")</f>
        <v>0</v>
      </c>
      <c r="AG34" s="51"/>
      <c r="AH34" s="140"/>
      <c r="AN34" s="40" t="s">
        <v>140</v>
      </c>
      <c r="AO34" s="40"/>
      <c r="AP34" s="40"/>
      <c r="AQ34" s="40"/>
    </row>
    <row r="35" spans="1:43" ht="26" x14ac:dyDescent="0.3">
      <c r="A35" s="35"/>
      <c r="B35" s="35"/>
      <c r="C35" s="35"/>
      <c r="D35" s="35"/>
      <c r="E35" s="35"/>
      <c r="F35" s="35"/>
      <c r="G35" s="35"/>
      <c r="H35" s="35"/>
      <c r="I35" s="35"/>
      <c r="J35" s="35"/>
      <c r="K35" s="61"/>
      <c r="L35" s="61"/>
      <c r="M35" s="72"/>
      <c r="N35" s="52" t="s">
        <v>207</v>
      </c>
      <c r="O35" s="53"/>
      <c r="P35" s="27"/>
      <c r="Q35" s="35"/>
      <c r="S35" s="51"/>
      <c r="T35" s="150" t="str" cm="1">
        <f t="array" ref="T35">IFERROR(_xlfn._xlws.FILTER(Calculator!$A$6:$A$18, TRUE=Calculator!$B$6:$B$18), "")</f>
        <v/>
      </c>
      <c r="U35" s="151"/>
      <c r="V35" s="152" t="str" cm="1">
        <f t="array" ref="V35">IF(LEN(T35)&gt;0, IF(getServingCount(T35)&gt;0,_xlfn.CONCAT(getServingCount(T35)," ",getServingUnits(T35)),"Default"), "")</f>
        <v/>
      </c>
      <c r="W35" s="153" t="str" cm="1">
        <f t="array" ref="W35">IFERROR(_xlfn._xlws.FILTER(Calculator!$H$6:$H$23, TRUE=Calculator!$I$6:$I$23), "")</f>
        <v/>
      </c>
      <c r="X35" s="186" t="str" cm="1">
        <f t="array" ref="X35">IFERROR(_xlfn._xlws.FILTER(Calculator!$A$21:$A$23, TRUE=Calculator!$B$21:$B$23), "")</f>
        <v/>
      </c>
      <c r="Y35" s="186"/>
      <c r="Z35" s="153"/>
      <c r="AA35" s="153"/>
      <c r="AB35" s="153"/>
      <c r="AC35" s="152" t="str" cm="1">
        <f t="array" ref="AC35">IF(LEN(X35)&gt;0, IF(getServingCount(X35)&gt;0, _xlfn.CONCAT(getServingCount(X35), " ", getServingUnits(X35)),"Default"), "")</f>
        <v/>
      </c>
      <c r="AD35" s="51"/>
      <c r="AE35" s="161" t="s">
        <v>165</v>
      </c>
      <c r="AF35" s="162">
        <f ca="1">IF(ISNUMBER('Nutritional Info'!D99), 'Nutritional Info'!D99, "")</f>
        <v>0</v>
      </c>
      <c r="AG35" s="51"/>
      <c r="AH35" s="140"/>
      <c r="AN35" s="40" t="s">
        <v>141</v>
      </c>
      <c r="AO35" s="40"/>
      <c r="AP35" s="40"/>
      <c r="AQ35" s="40"/>
    </row>
    <row r="36" spans="1:43" ht="23.5" customHeight="1" x14ac:dyDescent="0.3">
      <c r="A36" s="35"/>
      <c r="B36" s="35"/>
      <c r="C36" s="35"/>
      <c r="D36" s="35"/>
      <c r="E36" s="35"/>
      <c r="F36" s="35"/>
      <c r="G36" s="142"/>
      <c r="H36" s="35"/>
      <c r="I36" s="35"/>
      <c r="J36" s="35"/>
      <c r="K36" s="61"/>
      <c r="L36" s="61"/>
      <c r="M36" s="72"/>
      <c r="N36" s="52" t="s">
        <v>208</v>
      </c>
      <c r="O36" s="53"/>
      <c r="P36" s="27"/>
      <c r="Q36" s="35"/>
      <c r="S36" s="51"/>
      <c r="T36" s="150"/>
      <c r="U36" s="151"/>
      <c r="V36" s="152" t="str" cm="1">
        <f t="array" ref="V36">IF(LEN(T36)&gt;0, IF(getServingCount(T36)&gt;0,_xlfn.CONCAT(getServingCount(T36)," ",getServingUnits(T36)),"Default"), "")</f>
        <v/>
      </c>
      <c r="W36" s="153"/>
      <c r="X36" s="186"/>
      <c r="Y36" s="186"/>
      <c r="Z36" s="153"/>
      <c r="AA36" s="153"/>
      <c r="AB36" s="153"/>
      <c r="AC36" s="152" t="str">
        <f>IF(LEN(X36)&gt;0, _xlfn.CONCAT(getServingCount(X36), " ", getServingUnits(X36)), "")</f>
        <v/>
      </c>
      <c r="AD36" s="51"/>
      <c r="AE36" s="161" t="s">
        <v>166</v>
      </c>
      <c r="AF36" s="162">
        <f ca="1">IF(ISNUMBER('Nutritional Info'!D100), 'Nutritional Info'!D100, "")</f>
        <v>0</v>
      </c>
      <c r="AG36" s="51"/>
      <c r="AH36" s="140"/>
      <c r="AN36" s="40" t="s">
        <v>142</v>
      </c>
      <c r="AO36" s="40"/>
      <c r="AP36" s="40"/>
      <c r="AQ36" s="40"/>
    </row>
    <row r="37" spans="1:43" ht="23.5" customHeight="1" x14ac:dyDescent="0.3">
      <c r="A37" s="35"/>
      <c r="B37" s="35"/>
      <c r="C37" s="35"/>
      <c r="D37" s="35"/>
      <c r="E37" s="35"/>
      <c r="F37" s="35"/>
      <c r="G37" s="142"/>
      <c r="H37" s="35"/>
      <c r="I37" s="35"/>
      <c r="J37" s="35"/>
      <c r="K37" s="61"/>
      <c r="L37" s="61"/>
      <c r="M37" s="72"/>
      <c r="N37" s="27"/>
      <c r="O37" s="27"/>
      <c r="P37" s="27"/>
      <c r="Q37" s="35"/>
      <c r="S37" s="51"/>
      <c r="T37" s="150"/>
      <c r="U37" s="151"/>
      <c r="V37" s="152" t="str" cm="1">
        <f t="array" ref="V37">IF(LEN(T37)&gt;0, IF(getServingCount(T37)&gt;0,_xlfn.CONCAT(getServingCount(T37)," ",getServingUnits(T37)),"Default"), "")</f>
        <v/>
      </c>
      <c r="W37" s="153"/>
      <c r="X37" s="186"/>
      <c r="Y37" s="186"/>
      <c r="Z37" s="153"/>
      <c r="AA37" s="153"/>
      <c r="AB37" s="153"/>
      <c r="AC37" s="152" t="str">
        <f>IF(LEN(X37)&gt;0, _xlfn.CONCAT(getServingCount(X37), " ", getServingUnits(X37)), "")</f>
        <v/>
      </c>
      <c r="AD37" s="51"/>
      <c r="AE37" s="51"/>
      <c r="AF37" s="51"/>
      <c r="AG37" s="51"/>
      <c r="AH37" s="140"/>
      <c r="AN37" s="40" t="s">
        <v>143</v>
      </c>
      <c r="AO37" s="40"/>
      <c r="AP37" s="40"/>
      <c r="AQ37" s="40"/>
    </row>
    <row r="38" spans="1:43" ht="26" x14ac:dyDescent="0.3">
      <c r="A38" s="35"/>
      <c r="B38" s="35"/>
      <c r="C38" s="35"/>
      <c r="D38" s="35"/>
      <c r="E38" s="35"/>
      <c r="F38" s="35"/>
      <c r="G38" s="142"/>
      <c r="H38" s="35"/>
      <c r="I38" s="35"/>
      <c r="J38" s="35"/>
      <c r="K38" s="61"/>
      <c r="L38" s="61"/>
      <c r="M38" s="72"/>
      <c r="N38" s="27"/>
      <c r="O38" s="27"/>
      <c r="P38" s="27"/>
      <c r="Q38" s="35"/>
      <c r="S38" s="51"/>
      <c r="T38" s="150"/>
      <c r="U38" s="151"/>
      <c r="V38" s="152" t="str" cm="1">
        <f t="array" ref="V38">IF(LEN(T38)&gt;0, IF(getServingCount(T38)&gt;0,_xlfn.CONCAT(getServingCount(T38)," ",getServingUnits(T38)),"Default"), "")</f>
        <v/>
      </c>
      <c r="W38" s="153"/>
      <c r="X38" s="186"/>
      <c r="Y38" s="186"/>
      <c r="Z38" s="153"/>
      <c r="AA38" s="153"/>
      <c r="AB38" s="153"/>
      <c r="AC38" s="152" t="str">
        <f>IF(LEN(X38)&gt;0, _xlfn.CONCAT(getServingCount(X38), " ", getServingUnits(X38)), "")</f>
        <v/>
      </c>
      <c r="AD38" s="51"/>
      <c r="AE38" s="51"/>
      <c r="AF38" s="51"/>
      <c r="AG38" s="51"/>
      <c r="AH38" s="140"/>
      <c r="AN38" s="40" t="s">
        <v>268</v>
      </c>
      <c r="AO38" s="40"/>
      <c r="AP38" s="40"/>
      <c r="AQ38" s="40"/>
    </row>
    <row r="39" spans="1:43" ht="26" x14ac:dyDescent="0.3">
      <c r="A39" s="35"/>
      <c r="B39" s="35"/>
      <c r="C39" s="35"/>
      <c r="D39" s="35"/>
      <c r="E39" s="35"/>
      <c r="F39" s="35"/>
      <c r="G39" s="142"/>
      <c r="H39" s="35"/>
      <c r="I39" s="35"/>
      <c r="J39" s="35"/>
      <c r="K39" s="62" t="s">
        <v>294</v>
      </c>
      <c r="L39" s="62"/>
      <c r="M39" s="71"/>
      <c r="N39" s="41" t="s">
        <v>225</v>
      </c>
      <c r="O39" s="60"/>
      <c r="P39" s="31"/>
      <c r="Q39" s="35"/>
      <c r="S39" s="51"/>
      <c r="T39" s="150"/>
      <c r="U39" s="151"/>
      <c r="V39" s="152" t="str" cm="1">
        <f t="array" ref="V39">IF(LEN(T39)&gt;0, IF(getServingCount(T39)&gt;0,_xlfn.CONCAT(getServingCount(T39)," ",getServingUnits(T39)),"Default"), "")</f>
        <v/>
      </c>
      <c r="W39" s="153"/>
      <c r="X39" s="186"/>
      <c r="Y39" s="186"/>
      <c r="Z39" s="153"/>
      <c r="AA39" s="153"/>
      <c r="AB39" s="153"/>
      <c r="AC39" s="152" t="str">
        <f>IF(LEN(X39)&gt;0, _xlfn.CONCAT(getServingCount(X39), " ", getServingUnits(X39)), "")</f>
        <v/>
      </c>
      <c r="AD39" s="51"/>
      <c r="AE39" s="51"/>
      <c r="AF39" s="51"/>
      <c r="AG39" s="51"/>
      <c r="AH39" s="140"/>
      <c r="AN39" s="40" t="s">
        <v>269</v>
      </c>
      <c r="AO39" s="40"/>
      <c r="AP39" s="40"/>
      <c r="AQ39" s="40"/>
    </row>
    <row r="40" spans="1:43" ht="26" x14ac:dyDescent="0.3">
      <c r="A40" s="35"/>
      <c r="B40" s="35"/>
      <c r="C40" s="35"/>
      <c r="D40" s="35"/>
      <c r="E40" s="35"/>
      <c r="F40" s="35"/>
      <c r="G40" s="142"/>
      <c r="H40" s="35"/>
      <c r="I40" s="35"/>
      <c r="J40" s="35"/>
      <c r="K40" s="63"/>
      <c r="L40" s="63"/>
      <c r="M40" s="69"/>
      <c r="N40" s="44" t="s">
        <v>226</v>
      </c>
      <c r="O40" s="50"/>
      <c r="P40" s="31"/>
      <c r="Q40" s="35"/>
      <c r="S40" s="51"/>
      <c r="T40" s="150"/>
      <c r="U40" s="151"/>
      <c r="V40" s="152" t="str" cm="1">
        <f t="array" ref="V40">IF(LEN(T40)&gt;0, IF(getServingCount(T40)&gt;0,_xlfn.CONCAT(getServingCount(T40)," ",getServingUnits(T40)),"Default"), "")</f>
        <v/>
      </c>
      <c r="W40" s="153"/>
      <c r="X40" s="186"/>
      <c r="Y40" s="186"/>
      <c r="Z40" s="153"/>
      <c r="AA40" s="153"/>
      <c r="AB40" s="153"/>
      <c r="AC40" s="152" t="str">
        <f>IF(LEN(X40)&gt;0, _xlfn.CONCAT(getServingCount(X40), " ", getServingUnits(X40)), "")</f>
        <v/>
      </c>
      <c r="AD40" s="51"/>
      <c r="AE40" s="51"/>
      <c r="AF40" s="51"/>
      <c r="AG40" s="51"/>
      <c r="AH40" s="140"/>
      <c r="AN40" s="40" t="s">
        <v>270</v>
      </c>
      <c r="AO40" s="40"/>
      <c r="AP40" s="40"/>
      <c r="AQ40" s="40"/>
    </row>
    <row r="41" spans="1:43" ht="26" x14ac:dyDescent="0.3">
      <c r="A41" s="35"/>
      <c r="B41" s="35"/>
      <c r="C41" s="35"/>
      <c r="D41" s="35"/>
      <c r="E41" s="35"/>
      <c r="F41" s="35"/>
      <c r="G41" s="142"/>
      <c r="H41" s="35"/>
      <c r="I41" s="35"/>
      <c r="J41" s="35"/>
      <c r="K41" s="61"/>
      <c r="L41" s="61"/>
      <c r="M41" s="72"/>
      <c r="N41" s="27"/>
      <c r="O41" s="27"/>
      <c r="P41" s="27"/>
      <c r="Q41" s="35"/>
      <c r="S41" s="51"/>
      <c r="T41" s="150"/>
      <c r="U41" s="151"/>
      <c r="V41" s="152" t="str" cm="1">
        <f t="array" ref="V41">IF(LEN(T41)&gt;0, IF(getServingCount(T41)&gt;0,_xlfn.CONCAT(getServingCount(T41)," ",getServingUnits(T41)),"Default"), "")</f>
        <v/>
      </c>
      <c r="W41" s="153"/>
      <c r="X41" s="186"/>
      <c r="Y41" s="186"/>
      <c r="Z41" s="153"/>
      <c r="AA41" s="153"/>
      <c r="AB41" s="153"/>
      <c r="AC41" s="152" t="str">
        <f>IF(LEN(X41)&gt;0, _xlfn.CONCAT(getServingCount(X41), " ", getServingUnits(X41)), "")</f>
        <v/>
      </c>
      <c r="AD41" s="51"/>
      <c r="AE41" s="51"/>
      <c r="AF41" s="51"/>
      <c r="AG41" s="51"/>
      <c r="AH41" s="140"/>
      <c r="AI41" s="46"/>
    </row>
    <row r="42" spans="1:43" ht="26" x14ac:dyDescent="0.3">
      <c r="A42" s="35"/>
      <c r="B42" s="35"/>
      <c r="C42" s="35"/>
      <c r="D42" s="35"/>
      <c r="E42" s="35"/>
      <c r="F42" s="35"/>
      <c r="G42" s="142"/>
      <c r="H42" s="35"/>
      <c r="I42" s="35"/>
      <c r="J42" s="35"/>
      <c r="K42" s="35"/>
      <c r="L42" s="35"/>
      <c r="M42" s="35"/>
      <c r="N42" s="35"/>
      <c r="O42" s="35"/>
      <c r="P42" s="35"/>
      <c r="Q42" s="35"/>
      <c r="S42" s="51"/>
      <c r="T42" s="150"/>
      <c r="U42" s="151"/>
      <c r="V42" s="152" t="str" cm="1">
        <f t="array" ref="V42">IF(LEN(T42)&gt;0, IF(getServingCount(T42)&gt;0,_xlfn.CONCAT(getServingCount(T42)," ",getServingUnits(T42)),"Default"), "")</f>
        <v/>
      </c>
      <c r="W42" s="153"/>
      <c r="X42" s="186"/>
      <c r="Y42" s="186"/>
      <c r="Z42" s="153"/>
      <c r="AA42" s="153"/>
      <c r="AB42" s="153"/>
      <c r="AC42" s="152" t="str">
        <f>IF(LEN(X42)&gt;0, _xlfn.CONCAT(getServingCount(X42), " ", getServingUnits(X42)), "")</f>
        <v/>
      </c>
      <c r="AD42" s="51"/>
      <c r="AE42" s="51"/>
      <c r="AF42" s="51"/>
      <c r="AG42" s="51"/>
      <c r="AH42" s="140"/>
    </row>
    <row r="43" spans="1:43" ht="26" x14ac:dyDescent="0.3">
      <c r="A43" s="35"/>
      <c r="B43" s="35"/>
      <c r="C43" s="35"/>
      <c r="D43" s="35"/>
      <c r="E43" s="35"/>
      <c r="F43" s="35"/>
      <c r="G43" s="142"/>
      <c r="H43" s="35"/>
      <c r="I43" s="35"/>
      <c r="J43" s="35"/>
      <c r="K43" s="35"/>
      <c r="L43" s="35"/>
      <c r="M43" s="35"/>
      <c r="N43" s="35"/>
      <c r="O43" s="35"/>
      <c r="P43" s="35"/>
      <c r="Q43" s="35"/>
      <c r="S43" s="51"/>
      <c r="T43" s="150"/>
      <c r="U43" s="151"/>
      <c r="V43" s="152" t="str" cm="1">
        <f t="array" ref="V43">IF(LEN(T43)&gt;0, IF(getServingCount(T43)&gt;0,_xlfn.CONCAT(getServingCount(T43)," ",getServingUnits(T43)),"Default"), "")</f>
        <v/>
      </c>
      <c r="W43" s="153"/>
      <c r="X43" s="186"/>
      <c r="Y43" s="186"/>
      <c r="Z43" s="153"/>
      <c r="AA43" s="153"/>
      <c r="AB43" s="153"/>
      <c r="AC43" s="152" t="str">
        <f>IF(LEN(X43)&gt;0, _xlfn.CONCAT(getServingCount(X43), " ", getServingUnits(X43)), "")</f>
        <v/>
      </c>
      <c r="AD43" s="51"/>
      <c r="AE43" s="51"/>
      <c r="AF43" s="51"/>
      <c r="AG43" s="51"/>
      <c r="AH43" s="140"/>
    </row>
    <row r="44" spans="1:43" ht="26" x14ac:dyDescent="0.3">
      <c r="A44" s="35"/>
      <c r="B44" s="35"/>
      <c r="C44" s="35"/>
      <c r="D44" s="35"/>
      <c r="E44" s="35"/>
      <c r="F44" s="35"/>
      <c r="G44" s="142"/>
      <c r="H44" s="35"/>
      <c r="I44" s="35"/>
      <c r="J44" s="35"/>
      <c r="K44" s="35"/>
      <c r="L44" s="35"/>
      <c r="M44" s="35"/>
      <c r="N44" s="35"/>
      <c r="O44" s="35"/>
      <c r="P44" s="35"/>
      <c r="Q44" s="35"/>
      <c r="S44" s="51"/>
      <c r="T44" s="150"/>
      <c r="U44" s="151"/>
      <c r="V44" s="152" t="str" cm="1">
        <f t="array" ref="V44">IF(LEN(T44)&gt;0, IF(getServingCount(T44)&gt;0,_xlfn.CONCAT(getServingCount(T44)," ",getServingUnits(T44)),"Default"), "")</f>
        <v/>
      </c>
      <c r="W44" s="153"/>
      <c r="X44" s="186"/>
      <c r="Y44" s="186"/>
      <c r="Z44" s="153"/>
      <c r="AA44" s="153"/>
      <c r="AB44" s="153"/>
      <c r="AC44" s="152" t="str">
        <f>IF(LEN(X44)&gt;0, _xlfn.CONCAT(getServingCount(X44), " ", getServingUnits(X44)), "")</f>
        <v/>
      </c>
      <c r="AD44" s="51"/>
      <c r="AE44" s="51"/>
      <c r="AF44" s="51"/>
      <c r="AG44" s="51"/>
      <c r="AH44" s="140"/>
    </row>
    <row r="45" spans="1:43" ht="26" x14ac:dyDescent="0.3">
      <c r="A45" s="35"/>
      <c r="B45" s="35"/>
      <c r="C45" s="35"/>
      <c r="D45" s="35"/>
      <c r="E45" s="35"/>
      <c r="F45" s="35"/>
      <c r="G45" s="142"/>
      <c r="H45" s="35"/>
      <c r="I45" s="35"/>
      <c r="J45" s="35"/>
      <c r="K45" s="35"/>
      <c r="L45" s="35"/>
      <c r="M45" s="35"/>
      <c r="N45" s="35"/>
      <c r="O45" s="35"/>
      <c r="P45" s="35"/>
      <c r="Q45" s="35"/>
      <c r="S45" s="51"/>
      <c r="T45" s="150"/>
      <c r="U45" s="151"/>
      <c r="V45" s="152" t="str" cm="1">
        <f t="array" ref="V45">IF(LEN(T45)&gt;0, IF(getServingCount(T45)&gt;0,_xlfn.CONCAT(getServingCount(T45)," ",getServingUnits(T45)),"Default"), "")</f>
        <v/>
      </c>
      <c r="W45" s="153"/>
      <c r="X45" s="186"/>
      <c r="Y45" s="186"/>
      <c r="Z45" s="153"/>
      <c r="AA45" s="153"/>
      <c r="AB45" s="153"/>
      <c r="AC45" s="152" t="str">
        <f>IF(LEN(X45)&gt;0, _xlfn.CONCAT(getServingCount(X45), " ", getServingUnits(X45)), "")</f>
        <v/>
      </c>
      <c r="AD45" s="51"/>
      <c r="AE45" s="51"/>
      <c r="AF45" s="51"/>
      <c r="AG45" s="51"/>
      <c r="AH45" s="140"/>
    </row>
    <row r="46" spans="1:43" ht="26" x14ac:dyDescent="0.3">
      <c r="A46" s="35"/>
      <c r="B46" s="35"/>
      <c r="C46" s="35"/>
      <c r="D46" s="35"/>
      <c r="E46" s="35"/>
      <c r="F46" s="35"/>
      <c r="G46" s="35"/>
      <c r="H46" s="35"/>
      <c r="I46" s="35"/>
      <c r="J46" s="35"/>
      <c r="K46" s="35"/>
      <c r="L46" s="35"/>
      <c r="M46" s="35"/>
      <c r="N46" s="35"/>
      <c r="O46" s="35"/>
      <c r="P46" s="35"/>
      <c r="Q46" s="35"/>
      <c r="S46" s="51"/>
      <c r="T46" s="150"/>
      <c r="U46" s="151"/>
      <c r="V46" s="152" t="str" cm="1">
        <f t="array" ref="V46">IF(LEN(T46)&gt;0, IF(getServingCount(T46)&gt;0,_xlfn.CONCAT(getServingCount(T46)," ",getServingUnits(T46)),"Default"), "")</f>
        <v/>
      </c>
      <c r="W46" s="153"/>
      <c r="X46" s="186"/>
      <c r="Y46" s="186"/>
      <c r="Z46" s="153"/>
      <c r="AA46" s="153"/>
      <c r="AB46" s="153"/>
      <c r="AC46" s="152" t="str">
        <f>IF(LEN(X46)&gt;0, _xlfn.CONCAT(getServingCount(X46), " ", getServingUnits(X46)), "")</f>
        <v/>
      </c>
      <c r="AD46" s="51"/>
      <c r="AE46" s="51"/>
      <c r="AF46" s="51"/>
      <c r="AG46" s="51"/>
      <c r="AH46" s="140"/>
    </row>
    <row r="47" spans="1:43" ht="26" x14ac:dyDescent="0.3">
      <c r="A47" s="35"/>
      <c r="B47" s="35"/>
      <c r="C47" s="35"/>
      <c r="D47" s="35"/>
      <c r="E47" s="35"/>
      <c r="F47" s="35"/>
      <c r="G47" s="35"/>
      <c r="H47" s="35"/>
      <c r="I47" s="35"/>
      <c r="J47" s="35"/>
      <c r="K47" s="35"/>
      <c r="L47" s="35"/>
      <c r="M47" s="35"/>
      <c r="N47" s="35"/>
      <c r="O47" s="35"/>
      <c r="P47" s="35"/>
      <c r="Q47" s="35"/>
      <c r="S47" s="51"/>
      <c r="T47" s="150"/>
      <c r="U47" s="151"/>
      <c r="V47" s="152" t="str" cm="1">
        <f t="array" ref="V47">IF(LEN(T47)&gt;0, IF(getServingCount(T47)&gt;0,_xlfn.CONCAT(getServingCount(T47)," ",getServingUnits(T47)),"Default"), "")</f>
        <v/>
      </c>
      <c r="W47" s="153"/>
      <c r="X47" s="186"/>
      <c r="Y47" s="186"/>
      <c r="Z47" s="153"/>
      <c r="AA47" s="153"/>
      <c r="AB47" s="153"/>
      <c r="AC47" s="152" t="str">
        <f>IF(LEN(X47)&gt;0, _xlfn.CONCAT(getServingCount(X47), " ", getServingUnits(X47)), "")</f>
        <v/>
      </c>
      <c r="AD47" s="51"/>
      <c r="AE47" s="51"/>
      <c r="AF47" s="51"/>
      <c r="AG47" s="51"/>
      <c r="AH47" s="140"/>
    </row>
    <row r="48" spans="1:43" ht="26" x14ac:dyDescent="0.3">
      <c r="A48" s="35"/>
      <c r="B48" s="35"/>
      <c r="C48" s="35"/>
      <c r="D48" s="35"/>
      <c r="E48" s="35"/>
      <c r="F48" s="35"/>
      <c r="G48" s="35"/>
      <c r="H48" s="35"/>
      <c r="I48" s="35"/>
      <c r="J48" s="35"/>
      <c r="K48" s="35"/>
      <c r="L48" s="35"/>
      <c r="M48" s="35"/>
      <c r="N48" s="35"/>
      <c r="O48" s="35"/>
      <c r="P48" s="35"/>
      <c r="Q48" s="35"/>
      <c r="S48" s="51"/>
      <c r="T48" s="153"/>
      <c r="U48" s="151"/>
      <c r="V48" s="152" t="str" cm="1">
        <f t="array" ref="V48">IF(LEN(T48)&gt;0, IF(getServingCount(T48)&gt;0,_xlfn.CONCAT(getServingCount(T48)," ",getServingUnits(T48)),"Default"), "")</f>
        <v/>
      </c>
      <c r="W48" s="153"/>
      <c r="X48" s="186"/>
      <c r="Y48" s="186"/>
      <c r="Z48" s="153"/>
      <c r="AA48" s="153"/>
      <c r="AB48" s="153"/>
      <c r="AC48" s="152" t="str">
        <f>IF(LEN(X48)&gt;0, _xlfn.CONCAT(getServingCount(X48), " ", getServingUnits(X48)), "")</f>
        <v/>
      </c>
      <c r="AD48" s="51"/>
      <c r="AE48" s="51"/>
      <c r="AF48" s="51"/>
      <c r="AG48" s="51"/>
      <c r="AH48" s="140"/>
    </row>
    <row r="49" spans="1:34" ht="26" x14ac:dyDescent="0.3">
      <c r="A49" s="35"/>
      <c r="B49" s="35"/>
      <c r="C49" s="35"/>
      <c r="D49" s="35"/>
      <c r="E49" s="35"/>
      <c r="F49" s="35"/>
      <c r="G49" s="35"/>
      <c r="H49" s="35"/>
      <c r="I49" s="35"/>
      <c r="J49" s="35"/>
      <c r="K49" s="35"/>
      <c r="L49" s="35"/>
      <c r="M49" s="35"/>
      <c r="N49" s="35"/>
      <c r="O49" s="35"/>
      <c r="P49" s="35"/>
      <c r="Q49" s="35"/>
      <c r="S49" s="51"/>
      <c r="T49" s="153"/>
      <c r="U49" s="151"/>
      <c r="V49" s="152" t="str" cm="1">
        <f t="array" ref="V49">IF(LEN(T49)&gt;0, IF(getServingCount(T49)&gt;0,_xlfn.CONCAT(getServingCount(T49)," ",getServingUnits(T49)),"Default"), "")</f>
        <v/>
      </c>
      <c r="W49" s="153"/>
      <c r="X49" s="186"/>
      <c r="Y49" s="186"/>
      <c r="Z49" s="153"/>
      <c r="AA49" s="153"/>
      <c r="AB49" s="153"/>
      <c r="AC49" s="152" t="str">
        <f>IF(LEN(X49)&gt;0, _xlfn.CONCAT(getServingCount(X49), " ", getServingUnits(X49)), "")</f>
        <v/>
      </c>
      <c r="AD49" s="51"/>
      <c r="AE49" s="51"/>
      <c r="AF49" s="51"/>
      <c r="AG49" s="51"/>
      <c r="AH49" s="140"/>
    </row>
    <row r="50" spans="1:34" ht="26" x14ac:dyDescent="0.3">
      <c r="A50" s="35"/>
      <c r="B50" s="35"/>
      <c r="C50" s="35"/>
      <c r="D50" s="35"/>
      <c r="E50" s="35"/>
      <c r="F50" s="35"/>
      <c r="G50" s="35"/>
      <c r="H50" s="35"/>
      <c r="I50" s="35"/>
      <c r="J50" s="35"/>
      <c r="K50" s="35"/>
      <c r="L50" s="35"/>
      <c r="M50" s="35"/>
      <c r="N50" s="35"/>
      <c r="O50" s="35"/>
      <c r="P50" s="35"/>
      <c r="Q50" s="35"/>
      <c r="S50" s="51"/>
      <c r="T50" s="153"/>
      <c r="U50" s="151"/>
      <c r="V50" s="152" t="str" cm="1">
        <f t="array" ref="V50">IF(LEN(T50)&gt;0, IF(getServingCount(T50)&gt;0,_xlfn.CONCAT(getServingCount(T50)," ",getServingUnits(T50)),"Default"), "")</f>
        <v/>
      </c>
      <c r="W50" s="153"/>
      <c r="X50" s="186"/>
      <c r="Y50" s="186"/>
      <c r="Z50" s="153"/>
      <c r="AA50" s="153"/>
      <c r="AB50" s="153"/>
      <c r="AC50" s="152" t="str">
        <f>IF(LEN(X50)&gt;0, _xlfn.CONCAT(getServingCount(X50), " ", getServingUnits(X50)), "")</f>
        <v/>
      </c>
      <c r="AD50" s="51"/>
      <c r="AE50" s="51"/>
      <c r="AF50" s="51"/>
      <c r="AG50" s="51"/>
      <c r="AH50" s="140"/>
    </row>
    <row r="51" spans="1:34" ht="26" x14ac:dyDescent="0.3">
      <c r="A51" s="35"/>
      <c r="B51" s="35"/>
      <c r="C51" s="35"/>
      <c r="D51" s="35"/>
      <c r="E51" s="35"/>
      <c r="F51" s="35"/>
      <c r="G51" s="35"/>
      <c r="H51" s="35"/>
      <c r="I51" s="35"/>
      <c r="J51" s="35"/>
      <c r="K51" s="35"/>
      <c r="L51" s="35"/>
      <c r="M51" s="35"/>
      <c r="N51" s="35"/>
      <c r="O51" s="35"/>
      <c r="P51" s="35"/>
      <c r="Q51" s="35"/>
      <c r="S51" s="51"/>
      <c r="T51" s="153"/>
      <c r="U51" s="151"/>
      <c r="V51" s="152" t="str" cm="1">
        <f t="array" ref="V51">IF(LEN(T51)&gt;0, IF(getServingCount(T51)&gt;0,_xlfn.CONCAT(getServingCount(T51)," ",getServingUnits(T51)),"Default"), "")</f>
        <v/>
      </c>
      <c r="W51" s="153"/>
      <c r="X51" s="186"/>
      <c r="Y51" s="186"/>
      <c r="Z51" s="153"/>
      <c r="AA51" s="153"/>
      <c r="AB51" s="153"/>
      <c r="AC51" s="152" t="str">
        <f>IF(LEN(X51)&gt;0, _xlfn.CONCAT(getServingCount(X51), " ", getServingUnits(X51)), "")</f>
        <v/>
      </c>
      <c r="AD51" s="51"/>
      <c r="AE51" s="51"/>
      <c r="AF51" s="51"/>
      <c r="AG51" s="51"/>
      <c r="AH51" s="140"/>
    </row>
    <row r="52" spans="1:34" ht="26" x14ac:dyDescent="0.3">
      <c r="A52" s="35"/>
      <c r="B52" s="35"/>
      <c r="C52" s="35"/>
      <c r="D52" s="35"/>
      <c r="E52" s="35"/>
      <c r="F52" s="35"/>
      <c r="G52" s="35"/>
      <c r="H52" s="35"/>
      <c r="I52" s="35"/>
      <c r="J52" s="35"/>
      <c r="K52" s="35"/>
      <c r="L52" s="35"/>
      <c r="M52" s="35"/>
      <c r="N52" s="35"/>
      <c r="O52" s="35"/>
      <c r="P52" s="35"/>
      <c r="Q52" s="35"/>
      <c r="S52" s="51"/>
      <c r="T52" s="153"/>
      <c r="U52" s="151"/>
      <c r="V52" s="153"/>
      <c r="W52" s="153"/>
      <c r="X52" s="186"/>
      <c r="Y52" s="186"/>
      <c r="Z52" s="153"/>
      <c r="AA52" s="153"/>
      <c r="AB52" s="153"/>
      <c r="AC52" s="153"/>
      <c r="AD52" s="51"/>
      <c r="AE52" s="51"/>
      <c r="AF52" s="51"/>
      <c r="AG52" s="51"/>
      <c r="AH52" s="140"/>
    </row>
    <row r="53" spans="1:34" x14ac:dyDescent="0.3">
      <c r="A53" s="35"/>
      <c r="B53" s="35"/>
      <c r="C53" s="35"/>
      <c r="D53" s="35"/>
      <c r="E53" s="35"/>
      <c r="F53" s="35"/>
      <c r="G53" s="35"/>
      <c r="H53" s="35"/>
      <c r="I53" s="35"/>
      <c r="J53" s="35"/>
      <c r="K53" s="35"/>
      <c r="L53" s="35"/>
      <c r="M53" s="35"/>
      <c r="N53" s="35"/>
      <c r="O53" s="35"/>
      <c r="P53" s="35"/>
      <c r="Q53" s="35"/>
      <c r="S53" s="51"/>
      <c r="T53" s="51"/>
      <c r="U53" s="51"/>
      <c r="V53" s="51"/>
      <c r="W53" s="51"/>
      <c r="X53" s="51"/>
      <c r="Y53" s="51"/>
      <c r="Z53" s="51"/>
      <c r="AA53" s="51"/>
      <c r="AB53" s="51"/>
      <c r="AC53" s="51"/>
      <c r="AD53" s="51"/>
      <c r="AE53" s="51"/>
      <c r="AF53" s="51"/>
      <c r="AG53" s="51"/>
      <c r="AH53" s="140"/>
    </row>
    <row r="54" spans="1:34" x14ac:dyDescent="0.3">
      <c r="A54" s="35"/>
      <c r="B54" s="140"/>
      <c r="C54" s="140"/>
      <c r="D54" s="140"/>
      <c r="E54" s="140"/>
      <c r="F54" s="140"/>
      <c r="G54" s="140"/>
      <c r="H54" s="140"/>
      <c r="I54" s="140"/>
      <c r="J54" s="140"/>
      <c r="K54" s="140"/>
      <c r="L54" s="140"/>
      <c r="M54" s="140"/>
      <c r="N54" s="140"/>
      <c r="O54" s="140"/>
      <c r="P54" s="140"/>
      <c r="Q54" s="140"/>
    </row>
  </sheetData>
  <mergeCells count="56">
    <mergeCell ref="A1:Q3"/>
    <mergeCell ref="S1:AD2"/>
    <mergeCell ref="T4:AC4"/>
    <mergeCell ref="T13:AC13"/>
    <mergeCell ref="T15:AC15"/>
    <mergeCell ref="X5:Y5"/>
    <mergeCell ref="X6:Y6"/>
    <mergeCell ref="AB5:AC5"/>
    <mergeCell ref="T11:AC11"/>
    <mergeCell ref="T12:AC12"/>
    <mergeCell ref="X38:Y38"/>
    <mergeCell ref="X39:Y39"/>
    <mergeCell ref="X40:Y40"/>
    <mergeCell ref="X41:Y41"/>
    <mergeCell ref="X42:Y42"/>
    <mergeCell ref="AE25:AF26"/>
    <mergeCell ref="X34:AA34"/>
    <mergeCell ref="X35:Y35"/>
    <mergeCell ref="X36:Y36"/>
    <mergeCell ref="X37:Y37"/>
    <mergeCell ref="V25:AC25"/>
    <mergeCell ref="V26:AC26"/>
    <mergeCell ref="V27:AC27"/>
    <mergeCell ref="V32:AC32"/>
    <mergeCell ref="X43:Y43"/>
    <mergeCell ref="X44:Y44"/>
    <mergeCell ref="X45:Y45"/>
    <mergeCell ref="X46:Y46"/>
    <mergeCell ref="X47:Y47"/>
    <mergeCell ref="X48:Y48"/>
    <mergeCell ref="X49:Y49"/>
    <mergeCell ref="X50:Y50"/>
    <mergeCell ref="X51:Y51"/>
    <mergeCell ref="X52:Y52"/>
    <mergeCell ref="V19:Y21"/>
    <mergeCell ref="V28:AC28"/>
    <mergeCell ref="V29:AC29"/>
    <mergeCell ref="V30:AC30"/>
    <mergeCell ref="V31:AC31"/>
    <mergeCell ref="T7:AC7"/>
    <mergeCell ref="T8:AC8"/>
    <mergeCell ref="T9:AC9"/>
    <mergeCell ref="T10:AC10"/>
    <mergeCell ref="T14:AC14"/>
    <mergeCell ref="AE3:AF3"/>
    <mergeCell ref="AE4:AF4"/>
    <mergeCell ref="AE5:AF5"/>
    <mergeCell ref="AE6:AF6"/>
    <mergeCell ref="AE7:AF7"/>
    <mergeCell ref="AE13:AF13"/>
    <mergeCell ref="AE14:AF14"/>
    <mergeCell ref="AE8:AF8"/>
    <mergeCell ref="AE9:AF9"/>
    <mergeCell ref="AE10:AF10"/>
    <mergeCell ref="AE11:AF11"/>
    <mergeCell ref="AE12:AF12"/>
  </mergeCells>
  <dataValidations count="4">
    <dataValidation type="list" allowBlank="1" showInputMessage="1" showErrorMessage="1" sqref="E5:H5" xr:uid="{16B57CF5-B786-4CE7-B380-FCF73CEEC3C4}">
      <formula1>$AN$3:$AQ$3</formula1>
    </dataValidation>
    <dataValidation type="list" allowBlank="1" showInputMessage="1" showErrorMessage="1" sqref="E7:H7" xr:uid="{9E7FD986-6346-4AF6-BD0D-693679337939}">
      <formula1>IF($E$5=$AN$3, $AN$4:$AN$8, IF($E$5=$AO$3, $AO$4:$AO$8, IF($E$5=$AP$3, $AP$4:$AP$5, IF($E$5=$AQ$3, $AQ$4:$AQ$5))))</formula1>
    </dataValidation>
    <dataValidation type="custom" allowBlank="1" showInputMessage="1" showErrorMessage="1" sqref="I9" xr:uid="{CB780434-12C3-47D4-8145-CB5076DD55CB}">
      <formula1>IF(ISNUMBER(SEARCH($E$5,$AN$11)), AJ41:AJ41, IF($E$5=#REF!, AK41:AK41, IF($E$5=AL11, AL12:AL29)))</formula1>
    </dataValidation>
    <dataValidation type="list" allowBlank="1" showInputMessage="1" showErrorMessage="1" sqref="E9 G9:H9" xr:uid="{E60F1FCA-68B2-44B0-BC98-C20981BDEF31}">
      <formula1>IF(ISNUMBER(SEARCH($E$5,$AN$11)), $AN$12:$AN$40, IF($E$5=$AO$11, $AO$12:$AO$15, IF($E$5=$AP$11, $AP$12:$AP$28)))</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067" r:id="rId4" name="Check Box 19">
              <controlPr defaultSize="0" autoFill="0" autoLine="0" autoPict="0">
                <anchor moveWithCells="1">
                  <from>
                    <xdr:col>5</xdr:col>
                    <xdr:colOff>0</xdr:colOff>
                    <xdr:row>10</xdr:row>
                    <xdr:rowOff>57150</xdr:rowOff>
                  </from>
                  <to>
                    <xdr:col>6</xdr:col>
                    <xdr:colOff>228600</xdr:colOff>
                    <xdr:row>11</xdr:row>
                    <xdr:rowOff>0</xdr:rowOff>
                  </to>
                </anchor>
              </controlPr>
            </control>
          </mc:Choice>
        </mc:AlternateContent>
        <mc:AlternateContent xmlns:mc="http://schemas.openxmlformats.org/markup-compatibility/2006">
          <mc:Choice Requires="x14">
            <control shapeId="2068" r:id="rId5" name="Check Box 20">
              <controlPr defaultSize="0" autoFill="0" autoLine="0" autoPict="0">
                <anchor moveWithCells="1">
                  <from>
                    <xdr:col>5</xdr:col>
                    <xdr:colOff>0</xdr:colOff>
                    <xdr:row>11</xdr:row>
                    <xdr:rowOff>44450</xdr:rowOff>
                  </from>
                  <to>
                    <xdr:col>6</xdr:col>
                    <xdr:colOff>228600</xdr:colOff>
                    <xdr:row>12</xdr:row>
                    <xdr:rowOff>0</xdr:rowOff>
                  </to>
                </anchor>
              </controlPr>
            </control>
          </mc:Choice>
        </mc:AlternateContent>
        <mc:AlternateContent xmlns:mc="http://schemas.openxmlformats.org/markup-compatibility/2006">
          <mc:Choice Requires="x14">
            <control shapeId="2069" r:id="rId6" name="Check Box 21">
              <controlPr defaultSize="0" autoFill="0" autoLine="0" autoPict="0">
                <anchor moveWithCells="1">
                  <from>
                    <xdr:col>5</xdr:col>
                    <xdr:colOff>0</xdr:colOff>
                    <xdr:row>12</xdr:row>
                    <xdr:rowOff>63500</xdr:rowOff>
                  </from>
                  <to>
                    <xdr:col>6</xdr:col>
                    <xdr:colOff>228600</xdr:colOff>
                    <xdr:row>13</xdr:row>
                    <xdr:rowOff>0</xdr:rowOff>
                  </to>
                </anchor>
              </controlPr>
            </control>
          </mc:Choice>
        </mc:AlternateContent>
        <mc:AlternateContent xmlns:mc="http://schemas.openxmlformats.org/markup-compatibility/2006">
          <mc:Choice Requires="x14">
            <control shapeId="2070" r:id="rId7" name="Check Box 22">
              <controlPr defaultSize="0" autoFill="0" autoLine="0" autoPict="0">
                <anchor moveWithCells="1">
                  <from>
                    <xdr:col>5</xdr:col>
                    <xdr:colOff>0</xdr:colOff>
                    <xdr:row>13</xdr:row>
                    <xdr:rowOff>57150</xdr:rowOff>
                  </from>
                  <to>
                    <xdr:col>6</xdr:col>
                    <xdr:colOff>228600</xdr:colOff>
                    <xdr:row>14</xdr:row>
                    <xdr:rowOff>0</xdr:rowOff>
                  </to>
                </anchor>
              </controlPr>
            </control>
          </mc:Choice>
        </mc:AlternateContent>
        <mc:AlternateContent xmlns:mc="http://schemas.openxmlformats.org/markup-compatibility/2006">
          <mc:Choice Requires="x14">
            <control shapeId="2071" r:id="rId8" name="Check Box 23">
              <controlPr defaultSize="0" autoFill="0" autoLine="0" autoPict="0">
                <anchor moveWithCells="1">
                  <from>
                    <xdr:col>5</xdr:col>
                    <xdr:colOff>0</xdr:colOff>
                    <xdr:row>14</xdr:row>
                    <xdr:rowOff>31750</xdr:rowOff>
                  </from>
                  <to>
                    <xdr:col>6</xdr:col>
                    <xdr:colOff>241300</xdr:colOff>
                    <xdr:row>15</xdr:row>
                    <xdr:rowOff>0</xdr:rowOff>
                  </to>
                </anchor>
              </controlPr>
            </control>
          </mc:Choice>
        </mc:AlternateContent>
        <mc:AlternateContent xmlns:mc="http://schemas.openxmlformats.org/markup-compatibility/2006">
          <mc:Choice Requires="x14">
            <control shapeId="2072" r:id="rId9" name="Check Box 24">
              <controlPr defaultSize="0" autoFill="0" autoLine="0" autoPict="0">
                <anchor moveWithCells="1">
                  <from>
                    <xdr:col>5</xdr:col>
                    <xdr:colOff>0</xdr:colOff>
                    <xdr:row>15</xdr:row>
                    <xdr:rowOff>44450</xdr:rowOff>
                  </from>
                  <to>
                    <xdr:col>6</xdr:col>
                    <xdr:colOff>241300</xdr:colOff>
                    <xdr:row>16</xdr:row>
                    <xdr:rowOff>0</xdr:rowOff>
                  </to>
                </anchor>
              </controlPr>
            </control>
          </mc:Choice>
        </mc:AlternateContent>
        <mc:AlternateContent xmlns:mc="http://schemas.openxmlformats.org/markup-compatibility/2006">
          <mc:Choice Requires="x14">
            <control shapeId="2073" r:id="rId10" name="Check Box 25">
              <controlPr defaultSize="0" autoFill="0" autoLine="0" autoPict="0">
                <anchor moveWithCells="1">
                  <from>
                    <xdr:col>5</xdr:col>
                    <xdr:colOff>0</xdr:colOff>
                    <xdr:row>16</xdr:row>
                    <xdr:rowOff>38100</xdr:rowOff>
                  </from>
                  <to>
                    <xdr:col>6</xdr:col>
                    <xdr:colOff>228600</xdr:colOff>
                    <xdr:row>17</xdr:row>
                    <xdr:rowOff>0</xdr:rowOff>
                  </to>
                </anchor>
              </controlPr>
            </control>
          </mc:Choice>
        </mc:AlternateContent>
        <mc:AlternateContent xmlns:mc="http://schemas.openxmlformats.org/markup-compatibility/2006">
          <mc:Choice Requires="x14">
            <control shapeId="2074" r:id="rId11" name="Check Box 26">
              <controlPr defaultSize="0" autoFill="0" autoLine="0" autoPict="0">
                <anchor moveWithCells="1">
                  <from>
                    <xdr:col>5</xdr:col>
                    <xdr:colOff>0</xdr:colOff>
                    <xdr:row>17</xdr:row>
                    <xdr:rowOff>19050</xdr:rowOff>
                  </from>
                  <to>
                    <xdr:col>6</xdr:col>
                    <xdr:colOff>228600</xdr:colOff>
                    <xdr:row>18</xdr:row>
                    <xdr:rowOff>0</xdr:rowOff>
                  </to>
                </anchor>
              </controlPr>
            </control>
          </mc:Choice>
        </mc:AlternateContent>
        <mc:AlternateContent xmlns:mc="http://schemas.openxmlformats.org/markup-compatibility/2006">
          <mc:Choice Requires="x14">
            <control shapeId="2075" r:id="rId12" name="Check Box 27">
              <controlPr defaultSize="0" autoFill="0" autoLine="0" autoPict="0">
                <anchor moveWithCells="1">
                  <from>
                    <xdr:col>5</xdr:col>
                    <xdr:colOff>0</xdr:colOff>
                    <xdr:row>18</xdr:row>
                    <xdr:rowOff>25400</xdr:rowOff>
                  </from>
                  <to>
                    <xdr:col>6</xdr:col>
                    <xdr:colOff>228600</xdr:colOff>
                    <xdr:row>19</xdr:row>
                    <xdr:rowOff>0</xdr:rowOff>
                  </to>
                </anchor>
              </controlPr>
            </control>
          </mc:Choice>
        </mc:AlternateContent>
        <mc:AlternateContent xmlns:mc="http://schemas.openxmlformats.org/markup-compatibility/2006">
          <mc:Choice Requires="x14">
            <control shapeId="2076" r:id="rId13" name="Check Box 28">
              <controlPr defaultSize="0" autoFill="0" autoLine="0" autoPict="0">
                <anchor moveWithCells="1">
                  <from>
                    <xdr:col>5</xdr:col>
                    <xdr:colOff>0</xdr:colOff>
                    <xdr:row>19</xdr:row>
                    <xdr:rowOff>31750</xdr:rowOff>
                  </from>
                  <to>
                    <xdr:col>6</xdr:col>
                    <xdr:colOff>203200</xdr:colOff>
                    <xdr:row>20</xdr:row>
                    <xdr:rowOff>0</xdr:rowOff>
                  </to>
                </anchor>
              </controlPr>
            </control>
          </mc:Choice>
        </mc:AlternateContent>
        <mc:AlternateContent xmlns:mc="http://schemas.openxmlformats.org/markup-compatibility/2006">
          <mc:Choice Requires="x14">
            <control shapeId="2077" r:id="rId14" name="Check Box 29">
              <controlPr defaultSize="0" autoFill="0" autoLine="0" autoPict="0">
                <anchor moveWithCells="1">
                  <from>
                    <xdr:col>5</xdr:col>
                    <xdr:colOff>0</xdr:colOff>
                    <xdr:row>20</xdr:row>
                    <xdr:rowOff>31750</xdr:rowOff>
                  </from>
                  <to>
                    <xdr:col>6</xdr:col>
                    <xdr:colOff>228600</xdr:colOff>
                    <xdr:row>21</xdr:row>
                    <xdr:rowOff>0</xdr:rowOff>
                  </to>
                </anchor>
              </controlPr>
            </control>
          </mc:Choice>
        </mc:AlternateContent>
        <mc:AlternateContent xmlns:mc="http://schemas.openxmlformats.org/markup-compatibility/2006">
          <mc:Choice Requires="x14">
            <control shapeId="2078" r:id="rId15" name="Check Box 30">
              <controlPr defaultSize="0" autoFill="0" autoLine="0" autoPict="0">
                <anchor moveWithCells="1">
                  <from>
                    <xdr:col>5</xdr:col>
                    <xdr:colOff>0</xdr:colOff>
                    <xdr:row>21</xdr:row>
                    <xdr:rowOff>38100</xdr:rowOff>
                  </from>
                  <to>
                    <xdr:col>6</xdr:col>
                    <xdr:colOff>228600</xdr:colOff>
                    <xdr:row>22</xdr:row>
                    <xdr:rowOff>0</xdr:rowOff>
                  </to>
                </anchor>
              </controlPr>
            </control>
          </mc:Choice>
        </mc:AlternateContent>
        <mc:AlternateContent xmlns:mc="http://schemas.openxmlformats.org/markup-compatibility/2006">
          <mc:Choice Requires="x14">
            <control shapeId="2079" r:id="rId16" name="Check Box 31">
              <controlPr defaultSize="0" autoFill="0" autoLine="0" autoPict="0">
                <anchor moveWithCells="1">
                  <from>
                    <xdr:col>5</xdr:col>
                    <xdr:colOff>0</xdr:colOff>
                    <xdr:row>22</xdr:row>
                    <xdr:rowOff>31750</xdr:rowOff>
                  </from>
                  <to>
                    <xdr:col>6</xdr:col>
                    <xdr:colOff>228600</xdr:colOff>
                    <xdr:row>23</xdr:row>
                    <xdr:rowOff>0</xdr:rowOff>
                  </to>
                </anchor>
              </controlPr>
            </control>
          </mc:Choice>
        </mc:AlternateContent>
        <mc:AlternateContent xmlns:mc="http://schemas.openxmlformats.org/markup-compatibility/2006">
          <mc:Choice Requires="x14">
            <control shapeId="2081" r:id="rId17" name="Check Box 33">
              <controlPr defaultSize="0" autoFill="0" autoLine="0" autoPict="0">
                <anchor moveWithCells="1">
                  <from>
                    <xdr:col>4</xdr:col>
                    <xdr:colOff>3219450</xdr:colOff>
                    <xdr:row>26</xdr:row>
                    <xdr:rowOff>25400</xdr:rowOff>
                  </from>
                  <to>
                    <xdr:col>6</xdr:col>
                    <xdr:colOff>241300</xdr:colOff>
                    <xdr:row>27</xdr:row>
                    <xdr:rowOff>0</xdr:rowOff>
                  </to>
                </anchor>
              </controlPr>
            </control>
          </mc:Choice>
        </mc:AlternateContent>
        <mc:AlternateContent xmlns:mc="http://schemas.openxmlformats.org/markup-compatibility/2006">
          <mc:Choice Requires="x14">
            <control shapeId="2082" r:id="rId18" name="Check Box 34">
              <controlPr defaultSize="0" autoFill="0" autoLine="0" autoPict="0">
                <anchor moveWithCells="1">
                  <from>
                    <xdr:col>4</xdr:col>
                    <xdr:colOff>3219450</xdr:colOff>
                    <xdr:row>27</xdr:row>
                    <xdr:rowOff>101600</xdr:rowOff>
                  </from>
                  <to>
                    <xdr:col>6</xdr:col>
                    <xdr:colOff>241300</xdr:colOff>
                    <xdr:row>28</xdr:row>
                    <xdr:rowOff>0</xdr:rowOff>
                  </to>
                </anchor>
              </controlPr>
            </control>
          </mc:Choice>
        </mc:AlternateContent>
        <mc:AlternateContent xmlns:mc="http://schemas.openxmlformats.org/markup-compatibility/2006">
          <mc:Choice Requires="x14">
            <control shapeId="2083" r:id="rId19" name="Check Box 35">
              <controlPr defaultSize="0" autoFill="0" autoLine="0" autoPict="0">
                <anchor moveWithCells="1">
                  <from>
                    <xdr:col>4</xdr:col>
                    <xdr:colOff>3219450</xdr:colOff>
                    <xdr:row>28</xdr:row>
                    <xdr:rowOff>107950</xdr:rowOff>
                  </from>
                  <to>
                    <xdr:col>6</xdr:col>
                    <xdr:colOff>241300</xdr:colOff>
                    <xdr:row>29</xdr:row>
                    <xdr:rowOff>0</xdr:rowOff>
                  </to>
                </anchor>
              </controlPr>
            </control>
          </mc:Choice>
        </mc:AlternateContent>
        <mc:AlternateContent xmlns:mc="http://schemas.openxmlformats.org/markup-compatibility/2006">
          <mc:Choice Requires="x14">
            <control shapeId="2087" r:id="rId20" name="Check Box 39">
              <controlPr defaultSize="0" autoFill="0" autoLine="0" autoPict="0">
                <anchor moveWithCells="1">
                  <from>
                    <xdr:col>14</xdr:col>
                    <xdr:colOff>6350</xdr:colOff>
                    <xdr:row>4</xdr:row>
                    <xdr:rowOff>38100</xdr:rowOff>
                  </from>
                  <to>
                    <xdr:col>16</xdr:col>
                    <xdr:colOff>165100</xdr:colOff>
                    <xdr:row>4</xdr:row>
                    <xdr:rowOff>254000</xdr:rowOff>
                  </to>
                </anchor>
              </controlPr>
            </control>
          </mc:Choice>
        </mc:AlternateContent>
        <mc:AlternateContent xmlns:mc="http://schemas.openxmlformats.org/markup-compatibility/2006">
          <mc:Choice Requires="x14">
            <control shapeId="2089" r:id="rId21" name="Check Box 41">
              <controlPr defaultSize="0" autoFill="0" autoLine="0" autoPict="0">
                <anchor moveWithCells="1">
                  <from>
                    <xdr:col>14</xdr:col>
                    <xdr:colOff>6350</xdr:colOff>
                    <xdr:row>5</xdr:row>
                    <xdr:rowOff>31750</xdr:rowOff>
                  </from>
                  <to>
                    <xdr:col>16</xdr:col>
                    <xdr:colOff>177800</xdr:colOff>
                    <xdr:row>6</xdr:row>
                    <xdr:rowOff>0</xdr:rowOff>
                  </to>
                </anchor>
              </controlPr>
            </control>
          </mc:Choice>
        </mc:AlternateContent>
        <mc:AlternateContent xmlns:mc="http://schemas.openxmlformats.org/markup-compatibility/2006">
          <mc:Choice Requires="x14">
            <control shapeId="2090" r:id="rId22" name="Check Box 42">
              <controlPr defaultSize="0" autoFill="0" autoLine="0" autoPict="0">
                <anchor moveWithCells="1">
                  <from>
                    <xdr:col>14</xdr:col>
                    <xdr:colOff>6350</xdr:colOff>
                    <xdr:row>6</xdr:row>
                    <xdr:rowOff>25400</xdr:rowOff>
                  </from>
                  <to>
                    <xdr:col>16</xdr:col>
                    <xdr:colOff>165100</xdr:colOff>
                    <xdr:row>6</xdr:row>
                    <xdr:rowOff>254000</xdr:rowOff>
                  </to>
                </anchor>
              </controlPr>
            </control>
          </mc:Choice>
        </mc:AlternateContent>
        <mc:AlternateContent xmlns:mc="http://schemas.openxmlformats.org/markup-compatibility/2006">
          <mc:Choice Requires="x14">
            <control shapeId="2091" r:id="rId23" name="Check Box 43">
              <controlPr defaultSize="0" autoFill="0" autoLine="0" autoPict="0">
                <anchor moveWithCells="1">
                  <from>
                    <xdr:col>14</xdr:col>
                    <xdr:colOff>6350</xdr:colOff>
                    <xdr:row>7</xdr:row>
                    <xdr:rowOff>25400</xdr:rowOff>
                  </from>
                  <to>
                    <xdr:col>16</xdr:col>
                    <xdr:colOff>165100</xdr:colOff>
                    <xdr:row>7</xdr:row>
                    <xdr:rowOff>254000</xdr:rowOff>
                  </to>
                </anchor>
              </controlPr>
            </control>
          </mc:Choice>
        </mc:AlternateContent>
        <mc:AlternateContent xmlns:mc="http://schemas.openxmlformats.org/markup-compatibility/2006">
          <mc:Choice Requires="x14">
            <control shapeId="2092" r:id="rId24" name="Check Box 44">
              <controlPr defaultSize="0" autoFill="0" autoLine="0" autoPict="0">
                <anchor moveWithCells="1">
                  <from>
                    <xdr:col>14</xdr:col>
                    <xdr:colOff>0</xdr:colOff>
                    <xdr:row>8</xdr:row>
                    <xdr:rowOff>25400</xdr:rowOff>
                  </from>
                  <to>
                    <xdr:col>16</xdr:col>
                    <xdr:colOff>165100</xdr:colOff>
                    <xdr:row>8</xdr:row>
                    <xdr:rowOff>260350</xdr:rowOff>
                  </to>
                </anchor>
              </controlPr>
            </control>
          </mc:Choice>
        </mc:AlternateContent>
        <mc:AlternateContent xmlns:mc="http://schemas.openxmlformats.org/markup-compatibility/2006">
          <mc:Choice Requires="x14">
            <control shapeId="2093" r:id="rId25" name="Check Box 45">
              <controlPr defaultSize="0" autoFill="0" autoLine="0" autoPict="0">
                <anchor moveWithCells="1">
                  <from>
                    <xdr:col>14</xdr:col>
                    <xdr:colOff>6350</xdr:colOff>
                    <xdr:row>9</xdr:row>
                    <xdr:rowOff>25400</xdr:rowOff>
                  </from>
                  <to>
                    <xdr:col>16</xdr:col>
                    <xdr:colOff>165100</xdr:colOff>
                    <xdr:row>9</xdr:row>
                    <xdr:rowOff>254000</xdr:rowOff>
                  </to>
                </anchor>
              </controlPr>
            </control>
          </mc:Choice>
        </mc:AlternateContent>
        <mc:AlternateContent xmlns:mc="http://schemas.openxmlformats.org/markup-compatibility/2006">
          <mc:Choice Requires="x14">
            <control shapeId="2094" r:id="rId26" name="Check Box 46">
              <controlPr defaultSize="0" autoFill="0" autoLine="0" autoPict="0">
                <anchor moveWithCells="1">
                  <from>
                    <xdr:col>14</xdr:col>
                    <xdr:colOff>6350</xdr:colOff>
                    <xdr:row>10</xdr:row>
                    <xdr:rowOff>19050</xdr:rowOff>
                  </from>
                  <to>
                    <xdr:col>16</xdr:col>
                    <xdr:colOff>165100</xdr:colOff>
                    <xdr:row>10</xdr:row>
                    <xdr:rowOff>241300</xdr:rowOff>
                  </to>
                </anchor>
              </controlPr>
            </control>
          </mc:Choice>
        </mc:AlternateContent>
        <mc:AlternateContent xmlns:mc="http://schemas.openxmlformats.org/markup-compatibility/2006">
          <mc:Choice Requires="x14">
            <control shapeId="2095" r:id="rId27" name="Check Box 47">
              <controlPr defaultSize="0" autoFill="0" autoLine="0" autoPict="0">
                <anchor moveWithCells="1">
                  <from>
                    <xdr:col>14</xdr:col>
                    <xdr:colOff>0</xdr:colOff>
                    <xdr:row>11</xdr:row>
                    <xdr:rowOff>12700</xdr:rowOff>
                  </from>
                  <to>
                    <xdr:col>16</xdr:col>
                    <xdr:colOff>165100</xdr:colOff>
                    <xdr:row>11</xdr:row>
                    <xdr:rowOff>241300</xdr:rowOff>
                  </to>
                </anchor>
              </controlPr>
            </control>
          </mc:Choice>
        </mc:AlternateContent>
        <mc:AlternateContent xmlns:mc="http://schemas.openxmlformats.org/markup-compatibility/2006">
          <mc:Choice Requires="x14">
            <control shapeId="2096" r:id="rId28" name="Check Box 48">
              <controlPr defaultSize="0" autoFill="0" autoLine="0" autoPict="0">
                <anchor moveWithCells="1">
                  <from>
                    <xdr:col>14</xdr:col>
                    <xdr:colOff>0</xdr:colOff>
                    <xdr:row>12</xdr:row>
                    <xdr:rowOff>12700</xdr:rowOff>
                  </from>
                  <to>
                    <xdr:col>16</xdr:col>
                    <xdr:colOff>165100</xdr:colOff>
                    <xdr:row>12</xdr:row>
                    <xdr:rowOff>241300</xdr:rowOff>
                  </to>
                </anchor>
              </controlPr>
            </control>
          </mc:Choice>
        </mc:AlternateContent>
        <mc:AlternateContent xmlns:mc="http://schemas.openxmlformats.org/markup-compatibility/2006">
          <mc:Choice Requires="x14">
            <control shapeId="2097" r:id="rId29" name="Check Box 49">
              <controlPr defaultSize="0" autoFill="0" autoLine="0" autoPict="0">
                <anchor moveWithCells="1">
                  <from>
                    <xdr:col>14</xdr:col>
                    <xdr:colOff>6350</xdr:colOff>
                    <xdr:row>13</xdr:row>
                    <xdr:rowOff>12700</xdr:rowOff>
                  </from>
                  <to>
                    <xdr:col>16</xdr:col>
                    <xdr:colOff>165100</xdr:colOff>
                    <xdr:row>13</xdr:row>
                    <xdr:rowOff>228600</xdr:rowOff>
                  </to>
                </anchor>
              </controlPr>
            </control>
          </mc:Choice>
        </mc:AlternateContent>
        <mc:AlternateContent xmlns:mc="http://schemas.openxmlformats.org/markup-compatibility/2006">
          <mc:Choice Requires="x14">
            <control shapeId="2098" r:id="rId30" name="Check Box 50">
              <controlPr defaultSize="0" autoFill="0" autoLine="0" autoPict="0">
                <anchor moveWithCells="1">
                  <from>
                    <xdr:col>14</xdr:col>
                    <xdr:colOff>0</xdr:colOff>
                    <xdr:row>14</xdr:row>
                    <xdr:rowOff>6350</xdr:rowOff>
                  </from>
                  <to>
                    <xdr:col>16</xdr:col>
                    <xdr:colOff>165100</xdr:colOff>
                    <xdr:row>14</xdr:row>
                    <xdr:rowOff>228600</xdr:rowOff>
                  </to>
                </anchor>
              </controlPr>
            </control>
          </mc:Choice>
        </mc:AlternateContent>
        <mc:AlternateContent xmlns:mc="http://schemas.openxmlformats.org/markup-compatibility/2006">
          <mc:Choice Requires="x14">
            <control shapeId="2099" r:id="rId31" name="Check Box 51">
              <controlPr defaultSize="0" autoFill="0" autoLine="0" autoPict="0">
                <anchor moveWithCells="1">
                  <from>
                    <xdr:col>14</xdr:col>
                    <xdr:colOff>6350</xdr:colOff>
                    <xdr:row>15</xdr:row>
                    <xdr:rowOff>6350</xdr:rowOff>
                  </from>
                  <to>
                    <xdr:col>16</xdr:col>
                    <xdr:colOff>165100</xdr:colOff>
                    <xdr:row>15</xdr:row>
                    <xdr:rowOff>228600</xdr:rowOff>
                  </to>
                </anchor>
              </controlPr>
            </control>
          </mc:Choice>
        </mc:AlternateContent>
        <mc:AlternateContent xmlns:mc="http://schemas.openxmlformats.org/markup-compatibility/2006">
          <mc:Choice Requires="x14">
            <control shapeId="2100" r:id="rId32" name="Check Box 52">
              <controlPr defaultSize="0" autoFill="0" autoLine="0" autoPict="0">
                <anchor moveWithCells="1">
                  <from>
                    <xdr:col>14</xdr:col>
                    <xdr:colOff>6350</xdr:colOff>
                    <xdr:row>16</xdr:row>
                    <xdr:rowOff>6350</xdr:rowOff>
                  </from>
                  <to>
                    <xdr:col>16</xdr:col>
                    <xdr:colOff>165100</xdr:colOff>
                    <xdr:row>16</xdr:row>
                    <xdr:rowOff>241300</xdr:rowOff>
                  </to>
                </anchor>
              </controlPr>
            </control>
          </mc:Choice>
        </mc:AlternateContent>
        <mc:AlternateContent xmlns:mc="http://schemas.openxmlformats.org/markup-compatibility/2006">
          <mc:Choice Requires="x14">
            <control shapeId="2101" r:id="rId33" name="Check Box 53">
              <controlPr defaultSize="0" autoFill="0" autoLine="0" autoPict="0">
                <anchor moveWithCells="1">
                  <from>
                    <xdr:col>14</xdr:col>
                    <xdr:colOff>6350</xdr:colOff>
                    <xdr:row>17</xdr:row>
                    <xdr:rowOff>12700</xdr:rowOff>
                  </from>
                  <to>
                    <xdr:col>16</xdr:col>
                    <xdr:colOff>165100</xdr:colOff>
                    <xdr:row>17</xdr:row>
                    <xdr:rowOff>241300</xdr:rowOff>
                  </to>
                </anchor>
              </controlPr>
            </control>
          </mc:Choice>
        </mc:AlternateContent>
        <mc:AlternateContent xmlns:mc="http://schemas.openxmlformats.org/markup-compatibility/2006">
          <mc:Choice Requires="x14">
            <control shapeId="2102" r:id="rId34" name="Check Box 54">
              <controlPr defaultSize="0" autoFill="0" autoLine="0" autoPict="0">
                <anchor moveWithCells="1">
                  <from>
                    <xdr:col>14</xdr:col>
                    <xdr:colOff>6350</xdr:colOff>
                    <xdr:row>18</xdr:row>
                    <xdr:rowOff>12700</xdr:rowOff>
                  </from>
                  <to>
                    <xdr:col>16</xdr:col>
                    <xdr:colOff>165100</xdr:colOff>
                    <xdr:row>18</xdr:row>
                    <xdr:rowOff>241300</xdr:rowOff>
                  </to>
                </anchor>
              </controlPr>
            </control>
          </mc:Choice>
        </mc:AlternateContent>
        <mc:AlternateContent xmlns:mc="http://schemas.openxmlformats.org/markup-compatibility/2006">
          <mc:Choice Requires="x14">
            <control shapeId="2103" r:id="rId35" name="Check Box 55">
              <controlPr defaultSize="0" autoFill="0" autoLine="0" autoPict="0">
                <anchor moveWithCells="1">
                  <from>
                    <xdr:col>14</xdr:col>
                    <xdr:colOff>6350</xdr:colOff>
                    <xdr:row>19</xdr:row>
                    <xdr:rowOff>19050</xdr:rowOff>
                  </from>
                  <to>
                    <xdr:col>16</xdr:col>
                    <xdr:colOff>165100</xdr:colOff>
                    <xdr:row>19</xdr:row>
                    <xdr:rowOff>254000</xdr:rowOff>
                  </to>
                </anchor>
              </controlPr>
            </control>
          </mc:Choice>
        </mc:AlternateContent>
        <mc:AlternateContent xmlns:mc="http://schemas.openxmlformats.org/markup-compatibility/2006">
          <mc:Choice Requires="x14">
            <control shapeId="2104" r:id="rId36" name="Check Box 56">
              <controlPr defaultSize="0" autoFill="0" autoLine="0" autoPict="0">
                <anchor moveWithCells="1">
                  <from>
                    <xdr:col>14</xdr:col>
                    <xdr:colOff>6350</xdr:colOff>
                    <xdr:row>20</xdr:row>
                    <xdr:rowOff>25400</xdr:rowOff>
                  </from>
                  <to>
                    <xdr:col>16</xdr:col>
                    <xdr:colOff>165100</xdr:colOff>
                    <xdr:row>20</xdr:row>
                    <xdr:rowOff>254000</xdr:rowOff>
                  </to>
                </anchor>
              </controlPr>
            </control>
          </mc:Choice>
        </mc:AlternateContent>
        <mc:AlternateContent xmlns:mc="http://schemas.openxmlformats.org/markup-compatibility/2006">
          <mc:Choice Requires="x14">
            <control shapeId="2105" r:id="rId37" name="Check Box 57">
              <controlPr defaultSize="0" autoFill="0" autoLine="0" autoPict="0">
                <anchor moveWithCells="1">
                  <from>
                    <xdr:col>14</xdr:col>
                    <xdr:colOff>6350</xdr:colOff>
                    <xdr:row>21</xdr:row>
                    <xdr:rowOff>25400</xdr:rowOff>
                  </from>
                  <to>
                    <xdr:col>16</xdr:col>
                    <xdr:colOff>165100</xdr:colOff>
                    <xdr:row>21</xdr:row>
                    <xdr:rowOff>254000</xdr:rowOff>
                  </to>
                </anchor>
              </controlPr>
            </control>
          </mc:Choice>
        </mc:AlternateContent>
        <mc:AlternateContent xmlns:mc="http://schemas.openxmlformats.org/markup-compatibility/2006">
          <mc:Choice Requires="x14">
            <control shapeId="2116" r:id="rId38" name="Check Box 68">
              <controlPr defaultSize="0" autoFill="0" autoLine="0" autoPict="0">
                <anchor moveWithCells="1">
                  <from>
                    <xdr:col>14</xdr:col>
                    <xdr:colOff>0</xdr:colOff>
                    <xdr:row>38</xdr:row>
                    <xdr:rowOff>101600</xdr:rowOff>
                  </from>
                  <to>
                    <xdr:col>16</xdr:col>
                    <xdr:colOff>165100</xdr:colOff>
                    <xdr:row>38</xdr:row>
                    <xdr:rowOff>323850</xdr:rowOff>
                  </to>
                </anchor>
              </controlPr>
            </control>
          </mc:Choice>
        </mc:AlternateContent>
        <mc:AlternateContent xmlns:mc="http://schemas.openxmlformats.org/markup-compatibility/2006">
          <mc:Choice Requires="x14">
            <control shapeId="2117" r:id="rId39" name="Check Box 69">
              <controlPr defaultSize="0" autoFill="0" autoLine="0" autoPict="0">
                <anchor moveWithCells="1">
                  <from>
                    <xdr:col>14</xdr:col>
                    <xdr:colOff>0</xdr:colOff>
                    <xdr:row>39</xdr:row>
                    <xdr:rowOff>95250</xdr:rowOff>
                  </from>
                  <to>
                    <xdr:col>16</xdr:col>
                    <xdr:colOff>177800</xdr:colOff>
                    <xdr:row>40</xdr:row>
                    <xdr:rowOff>0</xdr:rowOff>
                  </to>
                </anchor>
              </controlPr>
            </control>
          </mc:Choice>
        </mc:AlternateContent>
        <mc:AlternateContent xmlns:mc="http://schemas.openxmlformats.org/markup-compatibility/2006">
          <mc:Choice Requires="x14">
            <control shapeId="2119" r:id="rId40" name="Check Box 71">
              <controlPr defaultSize="0" autoFill="0" autoLine="0" autoPict="0">
                <anchor moveWithCells="1">
                  <from>
                    <xdr:col>13</xdr:col>
                    <xdr:colOff>3403600</xdr:colOff>
                    <xdr:row>24</xdr:row>
                    <xdr:rowOff>50800</xdr:rowOff>
                  </from>
                  <to>
                    <xdr:col>16</xdr:col>
                    <xdr:colOff>146050</xdr:colOff>
                    <xdr:row>25</xdr:row>
                    <xdr:rowOff>0</xdr:rowOff>
                  </to>
                </anchor>
              </controlPr>
            </control>
          </mc:Choice>
        </mc:AlternateContent>
        <mc:AlternateContent xmlns:mc="http://schemas.openxmlformats.org/markup-compatibility/2006">
          <mc:Choice Requires="x14">
            <control shapeId="2120" r:id="rId41" name="Check Box 72">
              <controlPr defaultSize="0" autoFill="0" autoLine="0" autoPict="0">
                <anchor moveWithCells="1">
                  <from>
                    <xdr:col>13</xdr:col>
                    <xdr:colOff>3403600</xdr:colOff>
                    <xdr:row>25</xdr:row>
                    <xdr:rowOff>57150</xdr:rowOff>
                  </from>
                  <to>
                    <xdr:col>16</xdr:col>
                    <xdr:colOff>158750</xdr:colOff>
                    <xdr:row>26</xdr:row>
                    <xdr:rowOff>0</xdr:rowOff>
                  </to>
                </anchor>
              </controlPr>
            </control>
          </mc:Choice>
        </mc:AlternateContent>
        <mc:AlternateContent xmlns:mc="http://schemas.openxmlformats.org/markup-compatibility/2006">
          <mc:Choice Requires="x14">
            <control shapeId="2121" r:id="rId42" name="Check Box 73">
              <controlPr defaultSize="0" autoFill="0" autoLine="0" autoPict="0">
                <anchor moveWithCells="1">
                  <from>
                    <xdr:col>13</xdr:col>
                    <xdr:colOff>3403600</xdr:colOff>
                    <xdr:row>26</xdr:row>
                    <xdr:rowOff>50800</xdr:rowOff>
                  </from>
                  <to>
                    <xdr:col>16</xdr:col>
                    <xdr:colOff>158750</xdr:colOff>
                    <xdr:row>27</xdr:row>
                    <xdr:rowOff>0</xdr:rowOff>
                  </to>
                </anchor>
              </controlPr>
            </control>
          </mc:Choice>
        </mc:AlternateContent>
        <mc:AlternateContent xmlns:mc="http://schemas.openxmlformats.org/markup-compatibility/2006">
          <mc:Choice Requires="x14">
            <control shapeId="2122" r:id="rId43" name="Check Box 74">
              <controlPr defaultSize="0" autoFill="0" autoLine="0" autoPict="0">
                <anchor moveWithCells="1">
                  <from>
                    <xdr:col>13</xdr:col>
                    <xdr:colOff>3403600</xdr:colOff>
                    <xdr:row>27</xdr:row>
                    <xdr:rowOff>114300</xdr:rowOff>
                  </from>
                  <to>
                    <xdr:col>16</xdr:col>
                    <xdr:colOff>158750</xdr:colOff>
                    <xdr:row>28</xdr:row>
                    <xdr:rowOff>0</xdr:rowOff>
                  </to>
                </anchor>
              </controlPr>
            </control>
          </mc:Choice>
        </mc:AlternateContent>
        <mc:AlternateContent xmlns:mc="http://schemas.openxmlformats.org/markup-compatibility/2006">
          <mc:Choice Requires="x14">
            <control shapeId="2123" r:id="rId44" name="Check Box 75">
              <controlPr defaultSize="0" autoFill="0" autoLine="0" autoPict="0">
                <anchor moveWithCells="1">
                  <from>
                    <xdr:col>13</xdr:col>
                    <xdr:colOff>3403600</xdr:colOff>
                    <xdr:row>28</xdr:row>
                    <xdr:rowOff>114300</xdr:rowOff>
                  </from>
                  <to>
                    <xdr:col>16</xdr:col>
                    <xdr:colOff>158750</xdr:colOff>
                    <xdr:row>29</xdr:row>
                    <xdr:rowOff>0</xdr:rowOff>
                  </to>
                </anchor>
              </controlPr>
            </control>
          </mc:Choice>
        </mc:AlternateContent>
        <mc:AlternateContent xmlns:mc="http://schemas.openxmlformats.org/markup-compatibility/2006">
          <mc:Choice Requires="x14">
            <control shapeId="2124" r:id="rId45" name="Check Box 76">
              <controlPr defaultSize="0" autoFill="0" autoLine="0" autoPict="0">
                <anchor moveWithCells="1">
                  <from>
                    <xdr:col>13</xdr:col>
                    <xdr:colOff>3403600</xdr:colOff>
                    <xdr:row>29</xdr:row>
                    <xdr:rowOff>76200</xdr:rowOff>
                  </from>
                  <to>
                    <xdr:col>16</xdr:col>
                    <xdr:colOff>158750</xdr:colOff>
                    <xdr:row>29</xdr:row>
                    <xdr:rowOff>285750</xdr:rowOff>
                  </to>
                </anchor>
              </controlPr>
            </control>
          </mc:Choice>
        </mc:AlternateContent>
        <mc:AlternateContent xmlns:mc="http://schemas.openxmlformats.org/markup-compatibility/2006">
          <mc:Choice Requires="x14">
            <control shapeId="2125" r:id="rId46" name="Check Box 77">
              <controlPr defaultSize="0" autoFill="0" autoLine="0" autoPict="0">
                <anchor moveWithCells="1">
                  <from>
                    <xdr:col>13</xdr:col>
                    <xdr:colOff>3403600</xdr:colOff>
                    <xdr:row>30</xdr:row>
                    <xdr:rowOff>95250</xdr:rowOff>
                  </from>
                  <to>
                    <xdr:col>16</xdr:col>
                    <xdr:colOff>158750</xdr:colOff>
                    <xdr:row>30</xdr:row>
                    <xdr:rowOff>311150</xdr:rowOff>
                  </to>
                </anchor>
              </controlPr>
            </control>
          </mc:Choice>
        </mc:AlternateContent>
        <mc:AlternateContent xmlns:mc="http://schemas.openxmlformats.org/markup-compatibility/2006">
          <mc:Choice Requires="x14">
            <control shapeId="2126" r:id="rId47" name="Check Box 78">
              <controlPr defaultSize="0" autoFill="0" autoLine="0" autoPict="0">
                <anchor moveWithCells="1">
                  <from>
                    <xdr:col>13</xdr:col>
                    <xdr:colOff>3403600</xdr:colOff>
                    <xdr:row>31</xdr:row>
                    <xdr:rowOff>107950</xdr:rowOff>
                  </from>
                  <to>
                    <xdr:col>16</xdr:col>
                    <xdr:colOff>146050</xdr:colOff>
                    <xdr:row>32</xdr:row>
                    <xdr:rowOff>0</xdr:rowOff>
                  </to>
                </anchor>
              </controlPr>
            </control>
          </mc:Choice>
        </mc:AlternateContent>
        <mc:AlternateContent xmlns:mc="http://schemas.openxmlformats.org/markup-compatibility/2006">
          <mc:Choice Requires="x14">
            <control shapeId="2127" r:id="rId48" name="Check Box 79">
              <controlPr defaultSize="0" autoFill="0" autoLine="0" autoPict="0">
                <anchor moveWithCells="1">
                  <from>
                    <xdr:col>13</xdr:col>
                    <xdr:colOff>3403600</xdr:colOff>
                    <xdr:row>32</xdr:row>
                    <xdr:rowOff>44450</xdr:rowOff>
                  </from>
                  <to>
                    <xdr:col>16</xdr:col>
                    <xdr:colOff>146050</xdr:colOff>
                    <xdr:row>33</xdr:row>
                    <xdr:rowOff>0</xdr:rowOff>
                  </to>
                </anchor>
              </controlPr>
            </control>
          </mc:Choice>
        </mc:AlternateContent>
        <mc:AlternateContent xmlns:mc="http://schemas.openxmlformats.org/markup-compatibility/2006">
          <mc:Choice Requires="x14">
            <control shapeId="2128" r:id="rId49" name="Check Box 80">
              <controlPr defaultSize="0" autoFill="0" autoLine="0" autoPict="0">
                <anchor moveWithCells="1">
                  <from>
                    <xdr:col>13</xdr:col>
                    <xdr:colOff>3403600</xdr:colOff>
                    <xdr:row>33</xdr:row>
                    <xdr:rowOff>76200</xdr:rowOff>
                  </from>
                  <to>
                    <xdr:col>16</xdr:col>
                    <xdr:colOff>165100</xdr:colOff>
                    <xdr:row>34</xdr:row>
                    <xdr:rowOff>0</xdr:rowOff>
                  </to>
                </anchor>
              </controlPr>
            </control>
          </mc:Choice>
        </mc:AlternateContent>
        <mc:AlternateContent xmlns:mc="http://schemas.openxmlformats.org/markup-compatibility/2006">
          <mc:Choice Requires="x14">
            <control shapeId="2129" r:id="rId50" name="Check Box 81">
              <controlPr defaultSize="0" autoFill="0" autoLine="0" autoPict="0">
                <anchor moveWithCells="1">
                  <from>
                    <xdr:col>13</xdr:col>
                    <xdr:colOff>3403600</xdr:colOff>
                    <xdr:row>34</xdr:row>
                    <xdr:rowOff>95250</xdr:rowOff>
                  </from>
                  <to>
                    <xdr:col>16</xdr:col>
                    <xdr:colOff>158750</xdr:colOff>
                    <xdr:row>34</xdr:row>
                    <xdr:rowOff>323850</xdr:rowOff>
                  </to>
                </anchor>
              </controlPr>
            </control>
          </mc:Choice>
        </mc:AlternateContent>
        <mc:AlternateContent xmlns:mc="http://schemas.openxmlformats.org/markup-compatibility/2006">
          <mc:Choice Requires="x14">
            <control shapeId="2130" r:id="rId51" name="Check Box 82">
              <controlPr defaultSize="0" autoFill="0" autoLine="0" autoPict="0">
                <anchor moveWithCells="1">
                  <from>
                    <xdr:col>13</xdr:col>
                    <xdr:colOff>3403600</xdr:colOff>
                    <xdr:row>35</xdr:row>
                    <xdr:rowOff>50800</xdr:rowOff>
                  </from>
                  <to>
                    <xdr:col>16</xdr:col>
                    <xdr:colOff>158750</xdr:colOff>
                    <xdr:row>35</xdr:row>
                    <xdr:rowOff>273050</xdr:rowOff>
                  </to>
                </anchor>
              </controlPr>
            </control>
          </mc:Choice>
        </mc:AlternateContent>
        <mc:AlternateContent xmlns:mc="http://schemas.openxmlformats.org/markup-compatibility/2006">
          <mc:Choice Requires="x14">
            <control shapeId="2136" r:id="rId52" name="Button 88">
              <controlPr defaultSize="0" print="0" autoFill="0" autoPict="0" macro="[0]!calculateButton">
                <anchor moveWithCells="1">
                  <from>
                    <xdr:col>28</xdr:col>
                    <xdr:colOff>107950</xdr:colOff>
                    <xdr:row>17</xdr:row>
                    <xdr:rowOff>247650</xdr:rowOff>
                  </from>
                  <to>
                    <xdr:col>29</xdr:col>
                    <xdr:colOff>133350</xdr:colOff>
                    <xdr:row>21</xdr:row>
                    <xdr:rowOff>0</xdr:rowOff>
                  </to>
                </anchor>
              </controlPr>
            </control>
          </mc:Choice>
        </mc:AlternateContent>
        <mc:AlternateContent xmlns:mc="http://schemas.openxmlformats.org/markup-compatibility/2006">
          <mc:Choice Requires="x14">
            <control shapeId="2138" r:id="rId53" name="Button 90">
              <controlPr defaultSize="0" print="0" autoFill="0" autoPict="0" macro="[0]!resetFormButton">
                <anchor moveWithCells="1">
                  <from>
                    <xdr:col>19</xdr:col>
                    <xdr:colOff>0</xdr:colOff>
                    <xdr:row>18</xdr:row>
                    <xdr:rowOff>0</xdr:rowOff>
                  </from>
                  <to>
                    <xdr:col>19</xdr:col>
                    <xdr:colOff>2482850</xdr:colOff>
                    <xdr:row>21</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EF03BE-D28C-4C78-97DE-0E664D46FCD4}">
  <sheetPr codeName="Sheet7"/>
  <dimension ref="C2:P100"/>
  <sheetViews>
    <sheetView topLeftCell="B41" zoomScale="84" zoomScaleNormal="70" workbookViewId="0">
      <selection activeCell="F90" sqref="F90"/>
    </sheetView>
  </sheetViews>
  <sheetFormatPr defaultRowHeight="21" x14ac:dyDescent="0.3"/>
  <cols>
    <col min="1" max="1" width="8.796875" style="99"/>
    <col min="2" max="2" width="8.69921875" style="99" customWidth="1"/>
    <col min="3" max="3" width="42.296875" style="99" bestFit="1" customWidth="1"/>
    <col min="4" max="4" width="21.09765625" style="99" bestFit="1" customWidth="1"/>
    <col min="5" max="5" width="18.69921875" style="99" bestFit="1" customWidth="1"/>
    <col min="6" max="6" width="21.09765625" style="99" bestFit="1" customWidth="1"/>
    <col min="7" max="7" width="15.5" style="99" bestFit="1" customWidth="1"/>
    <col min="8" max="8" width="18.19921875" style="99" bestFit="1" customWidth="1"/>
    <col min="9" max="9" width="15.3984375" style="99" bestFit="1" customWidth="1"/>
    <col min="10" max="10" width="25.19921875" style="99" bestFit="1" customWidth="1"/>
    <col min="11" max="11" width="15.3984375" style="99" bestFit="1" customWidth="1"/>
    <col min="12" max="12" width="25.19921875" style="99" bestFit="1" customWidth="1"/>
    <col min="13" max="13" width="18.09765625" style="99" bestFit="1" customWidth="1"/>
    <col min="14" max="14" width="22.69921875" style="99" bestFit="1" customWidth="1"/>
    <col min="15" max="15" width="18.09765625" style="99" bestFit="1" customWidth="1"/>
    <col min="16" max="16" width="24.09765625" style="99" bestFit="1" customWidth="1"/>
    <col min="17" max="16384" width="8.796875" style="99"/>
  </cols>
  <sheetData>
    <row r="2" spans="3:16" ht="21.5" thickBot="1" x14ac:dyDescent="0.35"/>
    <row r="3" spans="3:16" ht="21.5" thickBot="1" x14ac:dyDescent="0.35">
      <c r="C3" s="108"/>
      <c r="D3" s="109">
        <v>2</v>
      </c>
      <c r="E3" s="109">
        <v>3</v>
      </c>
      <c r="F3" s="109">
        <v>4</v>
      </c>
      <c r="G3" s="109">
        <v>5</v>
      </c>
      <c r="H3" s="109">
        <v>6</v>
      </c>
      <c r="I3" s="109">
        <v>7</v>
      </c>
      <c r="J3" s="109">
        <v>8</v>
      </c>
      <c r="K3" s="109">
        <v>9</v>
      </c>
      <c r="L3" s="109">
        <v>10</v>
      </c>
      <c r="M3" s="110">
        <v>11</v>
      </c>
      <c r="O3" s="99" t="s">
        <v>355</v>
      </c>
      <c r="P3" s="99" t="s">
        <v>354</v>
      </c>
    </row>
    <row r="4" spans="3:16" ht="21.5" thickTop="1" x14ac:dyDescent="0.3">
      <c r="C4" s="122" t="s">
        <v>175</v>
      </c>
      <c r="D4" s="123" t="s">
        <v>157</v>
      </c>
      <c r="E4" s="123" t="s">
        <v>158</v>
      </c>
      <c r="F4" s="123" t="s">
        <v>159</v>
      </c>
      <c r="G4" s="123" t="s">
        <v>160</v>
      </c>
      <c r="H4" s="123" t="s">
        <v>161</v>
      </c>
      <c r="I4" s="123" t="s">
        <v>162</v>
      </c>
      <c r="J4" s="123" t="s">
        <v>163</v>
      </c>
      <c r="K4" s="123" t="s">
        <v>164</v>
      </c>
      <c r="L4" s="123" t="s">
        <v>165</v>
      </c>
      <c r="M4" s="134" t="s">
        <v>166</v>
      </c>
      <c r="O4" s="99" t="s">
        <v>243</v>
      </c>
      <c r="P4" s="100">
        <v>1</v>
      </c>
    </row>
    <row r="5" spans="3:16" x14ac:dyDescent="0.3">
      <c r="C5" s="111" t="str">
        <f>UI!V25</f>
        <v/>
      </c>
      <c r="D5" s="194" t="str" cm="1">
        <f t="array" ref="D5">IF(LEN($C$5)&gt;0, VLOOKUP('Nutritional Info'!$C$6, BreadT[], D$3,FALSE)*getMultiplier(), "")</f>
        <v/>
      </c>
      <c r="E5" s="194" t="str" cm="1">
        <f t="array" ref="E5">IF(LEN($C$5)&gt;0, VLOOKUP('Nutritional Info'!$C$6, BreadT[], E$3,FALSE)*getMultiplier(), "")</f>
        <v/>
      </c>
      <c r="F5" s="194" t="str" cm="1">
        <f t="array" ref="F5">IF(LEN($C$5)&gt;0, VLOOKUP('Nutritional Info'!$C$6, BreadT[], F$3,FALSE)*getMultiplier(), "")</f>
        <v/>
      </c>
      <c r="G5" s="194" t="str" cm="1">
        <f t="array" ref="G5">IF(LEN($C$5)&gt;0, VLOOKUP('Nutritional Info'!$C$6, BreadT[], G$3,FALSE)*getMultiplier(), "")</f>
        <v/>
      </c>
      <c r="H5" s="194" t="str" cm="1">
        <f t="array" ref="H5">IF(LEN($C$5)&gt;0, VLOOKUP('Nutritional Info'!$C$6, BreadT[], H$3,FALSE)*getMultiplier(), "")</f>
        <v/>
      </c>
      <c r="I5" s="194" t="str" cm="1">
        <f t="array" ref="I5">IF(LEN($C$5)&gt;0, VLOOKUP('Nutritional Info'!$C$6, BreadT[], I$3,FALSE)*getMultiplier(), "")</f>
        <v/>
      </c>
      <c r="J5" s="194" t="str" cm="1">
        <f t="array" ref="J5">IF(LEN($C$5)&gt;0, VLOOKUP('Nutritional Info'!$C$6, BreadT[], J$3,FALSE)*getMultiplier(), "")</f>
        <v/>
      </c>
      <c r="K5" s="194" t="str" cm="1">
        <f t="array" ref="K5">IF(LEN($C$5)&gt;0, VLOOKUP('Nutritional Info'!$C$6, BreadT[], K$3,FALSE)*getMultiplier(), "")</f>
        <v/>
      </c>
      <c r="L5" s="194" t="str" cm="1">
        <f t="array" ref="L5">IF(LEN($C$5)&gt;0, VLOOKUP('Nutritional Info'!$C$6, BreadT[], L$3,FALSE)*getMultiplier(), "")</f>
        <v/>
      </c>
      <c r="M5" s="194" t="str" cm="1">
        <f t="array" ref="M5">IF(LEN($C$5)&gt;0, VLOOKUP('Nutritional Info'!$C$6, BreadT[], M$3,FALSE)*getMultiplier(), "")</f>
        <v/>
      </c>
      <c r="O5" s="99" t="s">
        <v>279</v>
      </c>
      <c r="P5" s="100">
        <v>2</v>
      </c>
    </row>
    <row r="6" spans="3:16" x14ac:dyDescent="0.3">
      <c r="C6" s="111" t="str">
        <f>UI!V26</f>
        <v/>
      </c>
      <c r="D6" s="194"/>
      <c r="E6" s="194"/>
      <c r="F6" s="194"/>
      <c r="G6" s="194"/>
      <c r="H6" s="194"/>
      <c r="I6" s="194"/>
      <c r="J6" s="194"/>
      <c r="K6" s="194"/>
      <c r="L6" s="194"/>
      <c r="M6" s="194"/>
      <c r="O6" s="99" t="s">
        <v>245</v>
      </c>
      <c r="P6" s="100">
        <v>0.67</v>
      </c>
    </row>
    <row r="7" spans="3:16" ht="21.5" thickBot="1" x14ac:dyDescent="0.35">
      <c r="C7" s="112" t="s">
        <v>281</v>
      </c>
      <c r="D7" s="159">
        <f>SUM(D5)</f>
        <v>0</v>
      </c>
      <c r="E7" s="159">
        <f t="shared" ref="E7:M7" si="0">SUM(E5)</f>
        <v>0</v>
      </c>
      <c r="F7" s="159">
        <f t="shared" si="0"/>
        <v>0</v>
      </c>
      <c r="G7" s="159">
        <f t="shared" si="0"/>
        <v>0</v>
      </c>
      <c r="H7" s="159">
        <f t="shared" si="0"/>
        <v>0</v>
      </c>
      <c r="I7" s="159">
        <f t="shared" si="0"/>
        <v>0</v>
      </c>
      <c r="J7" s="159">
        <f t="shared" si="0"/>
        <v>0</v>
      </c>
      <c r="K7" s="159">
        <f t="shared" si="0"/>
        <v>0</v>
      </c>
      <c r="L7" s="159">
        <f t="shared" si="0"/>
        <v>0</v>
      </c>
      <c r="M7" s="160">
        <f t="shared" si="0"/>
        <v>0</v>
      </c>
      <c r="O7" s="99" t="s">
        <v>244</v>
      </c>
      <c r="P7" s="100">
        <v>1</v>
      </c>
    </row>
    <row r="9" spans="3:16" ht="21.5" thickBot="1" x14ac:dyDescent="0.35"/>
    <row r="10" spans="3:16" ht="21.5" thickBot="1" x14ac:dyDescent="0.35">
      <c r="C10" s="113"/>
      <c r="D10" s="114">
        <v>2</v>
      </c>
      <c r="E10" s="114">
        <v>3</v>
      </c>
      <c r="F10" s="114">
        <v>4</v>
      </c>
      <c r="G10" s="114">
        <v>5</v>
      </c>
      <c r="H10" s="114">
        <v>6</v>
      </c>
      <c r="I10" s="114">
        <v>7</v>
      </c>
      <c r="J10" s="114">
        <v>8</v>
      </c>
      <c r="K10" s="114">
        <v>9</v>
      </c>
      <c r="L10" s="114">
        <v>10</v>
      </c>
      <c r="M10" s="115">
        <v>11</v>
      </c>
    </row>
    <row r="11" spans="3:16" ht="21.5" thickTop="1" x14ac:dyDescent="0.3">
      <c r="C11" s="116" t="s">
        <v>296</v>
      </c>
      <c r="D11" s="106" t="s">
        <v>157</v>
      </c>
      <c r="E11" s="106" t="s">
        <v>158</v>
      </c>
      <c r="F11" s="106" t="s">
        <v>159</v>
      </c>
      <c r="G11" s="106" t="s">
        <v>160</v>
      </c>
      <c r="H11" s="106" t="s">
        <v>161</v>
      </c>
      <c r="I11" s="106" t="s">
        <v>162</v>
      </c>
      <c r="J11" s="106" t="s">
        <v>163</v>
      </c>
      <c r="K11" s="106" t="s">
        <v>164</v>
      </c>
      <c r="L11" s="106" t="s">
        <v>165</v>
      </c>
      <c r="M11" s="117" t="s">
        <v>166</v>
      </c>
    </row>
    <row r="12" spans="3:16" x14ac:dyDescent="0.3">
      <c r="C12" s="118" t="str">
        <f>UI!V28</f>
        <v/>
      </c>
      <c r="D12" s="107" t="str" cm="1">
        <f t="array" ref="D12">IF(LEN($C$12)&gt;0, VLOOKUP('Nutritional Info'!$C$12,MeatT[],D$10,FALSE)*getMultiplier(), "")</f>
        <v/>
      </c>
      <c r="E12" s="107" t="str" cm="1">
        <f t="array" ref="E12">IF(LEN($C$12)&gt;0, VLOOKUP('Nutritional Info'!$C$12,MeatT[],E$10,FALSE)*getMultiplier(), "")</f>
        <v/>
      </c>
      <c r="F12" s="107" t="str" cm="1">
        <f t="array" ref="F12">IF(LEN($C$12)&gt;0, VLOOKUP('Nutritional Info'!$C$12,MeatT[],F$10,FALSE)*getMultiplier(), "")</f>
        <v/>
      </c>
      <c r="G12" s="107" t="str" cm="1">
        <f t="array" ref="G12">IF(LEN($C$12)&gt;0, VLOOKUP('Nutritional Info'!$C$12,MeatT[],G$10,FALSE)*getMultiplier(), "")</f>
        <v/>
      </c>
      <c r="H12" s="107" t="str" cm="1">
        <f t="array" ref="H12">IF(LEN($C$12)&gt;0, VLOOKUP('Nutritional Info'!$C$12,MeatT[],H$10,FALSE)*getMultiplier(), "")</f>
        <v/>
      </c>
      <c r="I12" s="107" t="str" cm="1">
        <f t="array" ref="I12">IF(LEN($C$12)&gt;0, VLOOKUP('Nutritional Info'!$C$12,MeatT[],I$10,FALSE)*getMultiplier(), "")</f>
        <v/>
      </c>
      <c r="J12" s="107" t="str" cm="1">
        <f t="array" ref="J12">IF(LEN($C$12)&gt;0, VLOOKUP('Nutritional Info'!$C$12,MeatT[],J$10,FALSE)*getMultiplier(), "")</f>
        <v/>
      </c>
      <c r="K12" s="107" t="str" cm="1">
        <f t="array" ref="K12">IF(LEN($C$12)&gt;0, VLOOKUP('Nutritional Info'!$C$12,MeatT[],K$10,FALSE)*getMultiplier(), "")</f>
        <v/>
      </c>
      <c r="L12" s="107" t="str" cm="1">
        <f t="array" ref="L12">IF(LEN($C$12)&gt;0, VLOOKUP('Nutritional Info'!$C$12,MeatT[],L$10,FALSE)*getMultiplier(), "")</f>
        <v/>
      </c>
      <c r="M12" s="107" t="str" cm="1">
        <f t="array" ref="M12">IF(LEN($C$12)&gt;0, VLOOKUP('Nutritional Info'!$C$12,MeatT[],M$10,FALSE)*getMultiplier(), "")</f>
        <v/>
      </c>
    </row>
    <row r="13" spans="3:16" ht="21.5" thickBot="1" x14ac:dyDescent="0.35">
      <c r="C13" s="119" t="s">
        <v>281</v>
      </c>
      <c r="D13" s="120">
        <f>SUM(D12)</f>
        <v>0</v>
      </c>
      <c r="E13" s="120">
        <f t="shared" ref="E13:M13" si="1">SUM(E12)</f>
        <v>0</v>
      </c>
      <c r="F13" s="120">
        <f t="shared" si="1"/>
        <v>0</v>
      </c>
      <c r="G13" s="120">
        <f t="shared" si="1"/>
        <v>0</v>
      </c>
      <c r="H13" s="120">
        <f t="shared" si="1"/>
        <v>0</v>
      </c>
      <c r="I13" s="120">
        <f t="shared" si="1"/>
        <v>0</v>
      </c>
      <c r="J13" s="120">
        <f t="shared" si="1"/>
        <v>0</v>
      </c>
      <c r="K13" s="120">
        <f t="shared" si="1"/>
        <v>0</v>
      </c>
      <c r="L13" s="120">
        <f t="shared" si="1"/>
        <v>0</v>
      </c>
      <c r="M13" s="121">
        <f t="shared" si="1"/>
        <v>0</v>
      </c>
    </row>
    <row r="15" spans="3:16" ht="21.5" thickBot="1" x14ac:dyDescent="0.35"/>
    <row r="16" spans="3:16" x14ac:dyDescent="0.3">
      <c r="C16" s="108"/>
      <c r="D16" s="109">
        <v>2</v>
      </c>
      <c r="E16" s="109">
        <v>3</v>
      </c>
      <c r="F16" s="109">
        <v>4</v>
      </c>
      <c r="G16" s="109">
        <v>5</v>
      </c>
      <c r="H16" s="109">
        <v>6</v>
      </c>
      <c r="I16" s="109">
        <v>7</v>
      </c>
      <c r="J16" s="109">
        <v>8</v>
      </c>
      <c r="K16" s="109">
        <v>9</v>
      </c>
      <c r="L16" s="109">
        <v>10</v>
      </c>
      <c r="M16" s="109">
        <v>11</v>
      </c>
      <c r="N16" s="109">
        <v>12</v>
      </c>
      <c r="O16" s="110">
        <v>13</v>
      </c>
    </row>
    <row r="17" spans="3:15" x14ac:dyDescent="0.3">
      <c r="C17" s="124" t="s">
        <v>239</v>
      </c>
      <c r="D17" s="123" t="s">
        <v>253</v>
      </c>
      <c r="E17" s="123" t="s">
        <v>254</v>
      </c>
      <c r="F17" s="123" t="s">
        <v>157</v>
      </c>
      <c r="G17" s="123" t="s">
        <v>158</v>
      </c>
      <c r="H17" s="123" t="s">
        <v>159</v>
      </c>
      <c r="I17" s="123" t="s">
        <v>160</v>
      </c>
      <c r="J17" s="123" t="s">
        <v>161</v>
      </c>
      <c r="K17" s="123" t="s">
        <v>162</v>
      </c>
      <c r="L17" s="123" t="s">
        <v>163</v>
      </c>
      <c r="M17" s="123" t="s">
        <v>164</v>
      </c>
      <c r="N17" s="123" t="s">
        <v>165</v>
      </c>
      <c r="O17" s="134" t="s">
        <v>166</v>
      </c>
    </row>
    <row r="18" spans="3:15" x14ac:dyDescent="0.3">
      <c r="C18" s="131" t="str" cm="1">
        <f t="array" ref="C18">_xlfn._xlws.FILTER(SelectionT[Vegetables], SelectionT[Vegetables]&lt;&gt;0, "")</f>
        <v/>
      </c>
      <c r="D18" s="157" t="str" cm="1">
        <f t="array" ref="D18">IF(LEN(C18)&gt;0, IF(hasServingUnits(C18), IF(getServingCount(C18)&gt;0, getServingCount(C18), "Default"), "Default"), "")</f>
        <v/>
      </c>
      <c r="E18" s="157" t="str" cm="1">
        <f t="array" ref="E18">IF(LEN(C18)&gt;0, IF(hasServingUnits(C18), getServingUnits(C18), ""), "")</f>
        <v/>
      </c>
      <c r="F18" s="135" t="str" cm="1">
        <f t="array" aca="1" ref="F18" ca="1">calculateVeggie($C18, $D18, F$16)</f>
        <v/>
      </c>
      <c r="G18" s="135" t="str" cm="1">
        <f t="array" aca="1" ref="G18" ca="1">calculateVeggie($C18, $D18, G$16)</f>
        <v/>
      </c>
      <c r="H18" s="135" t="str" cm="1">
        <f t="array" aca="1" ref="H18" ca="1">calculateVeggie($C18, $D18, H$16)</f>
        <v/>
      </c>
      <c r="I18" s="135" t="str" cm="1">
        <f t="array" aca="1" ref="I18" ca="1">calculateVeggie($C18, $D18, I$16)</f>
        <v/>
      </c>
      <c r="J18" s="135" t="str" cm="1">
        <f t="array" aca="1" ref="J18" ca="1">calculateVeggie($C18, $D18, J$16)</f>
        <v/>
      </c>
      <c r="K18" s="135" t="str" cm="1">
        <f t="array" aca="1" ref="K18" ca="1">calculateVeggie($C18, $D18, K$16)</f>
        <v/>
      </c>
      <c r="L18" s="135" t="str" cm="1">
        <f t="array" aca="1" ref="L18" ca="1">calculateVeggie($C18, $D18, L$16)</f>
        <v/>
      </c>
      <c r="M18" s="135" t="str" cm="1">
        <f t="array" aca="1" ref="M18" ca="1">calculateVeggie($C18, $D18, M$16)</f>
        <v/>
      </c>
      <c r="N18" s="135" t="str" cm="1">
        <f t="array" aca="1" ref="N18" ca="1">calculateVeggie($C18, $D18, N$16)</f>
        <v/>
      </c>
      <c r="O18" s="136" t="str" cm="1">
        <f t="array" aca="1" ref="O18" ca="1">calculateVeggie($C18, $D18, O$16)</f>
        <v/>
      </c>
    </row>
    <row r="19" spans="3:15" x14ac:dyDescent="0.3">
      <c r="C19" s="131"/>
      <c r="D19" s="157" t="str" cm="1">
        <f t="array" ref="D19">IF(LEN(C19)&gt;0, IF(hasServingUnits(C19), IF(getServingCount(C19)&gt;0, getServingCount(C19), "Default"), "Default"), "")</f>
        <v/>
      </c>
      <c r="E19" s="157" t="str" cm="1">
        <f t="array" ref="E19">IF(LEN(C19)&gt;0, IF(hasServingUnits(C19), getServingUnits(C19), ""), "")</f>
        <v/>
      </c>
      <c r="F19" s="135" t="str" cm="1">
        <f t="array" aca="1" ref="F19" ca="1">calculateVeggie($C19, $D19, F$16)</f>
        <v/>
      </c>
      <c r="G19" s="135" t="str" cm="1">
        <f t="array" aca="1" ref="G19" ca="1">calculateVeggie($C19, $D19, G$16)</f>
        <v/>
      </c>
      <c r="H19" s="135" t="str" cm="1">
        <f t="array" aca="1" ref="H19" ca="1">calculateVeggie($C19, $D19, H$16)</f>
        <v/>
      </c>
      <c r="I19" s="135" t="str" cm="1">
        <f t="array" aca="1" ref="I19" ca="1">calculateVeggie($C19, $D19, I$16)</f>
        <v/>
      </c>
      <c r="J19" s="135" t="str" cm="1">
        <f t="array" aca="1" ref="J19" ca="1">calculateVeggie($C19, $D19, J$16)</f>
        <v/>
      </c>
      <c r="K19" s="135" t="str" cm="1">
        <f t="array" aca="1" ref="K19" ca="1">calculateVeggie($C19, $D19, K$16)</f>
        <v/>
      </c>
      <c r="L19" s="135" t="str" cm="1">
        <f t="array" aca="1" ref="L19" ca="1">calculateVeggie($C19, $D19, L$16)</f>
        <v/>
      </c>
      <c r="M19" s="135" t="str" cm="1">
        <f t="array" aca="1" ref="M19" ca="1">calculateVeggie($C19, $D19, M$16)</f>
        <v/>
      </c>
      <c r="N19" s="135" t="str" cm="1">
        <f t="array" aca="1" ref="N19" ca="1">calculateVeggie($C19, $D19, N$16)</f>
        <v/>
      </c>
      <c r="O19" s="135" t="str" cm="1">
        <f t="array" aca="1" ref="O19" ca="1">calculateVeggie($C19, $D19, O$16)</f>
        <v/>
      </c>
    </row>
    <row r="20" spans="3:15" x14ac:dyDescent="0.3">
      <c r="C20" s="131"/>
      <c r="D20" s="157" t="str" cm="1">
        <f t="array" ref="D20">IF(LEN(C20)&gt;0, IF(hasServingUnits(C20), IF(getServingCount(C20)&gt;0, getServingCount(C20), "Default"), "Default"), "")</f>
        <v/>
      </c>
      <c r="E20" s="157" t="str" cm="1">
        <f t="array" ref="E20">IF(LEN(C20)&gt;0, IF(hasServingUnits(C20), getServingUnits(C20), ""), "")</f>
        <v/>
      </c>
      <c r="F20" s="135" t="str" cm="1">
        <f t="array" aca="1" ref="F20" ca="1">calculateVeggie($C20, $D20, F$16)</f>
        <v/>
      </c>
      <c r="G20" s="135" t="str" cm="1">
        <f t="array" aca="1" ref="G20" ca="1">calculateVeggie($C20, $D20, G$16)</f>
        <v/>
      </c>
      <c r="H20" s="135" t="str" cm="1">
        <f t="array" aca="1" ref="H20" ca="1">calculateVeggie($C20, $D20, H$16)</f>
        <v/>
      </c>
      <c r="I20" s="135" t="str" cm="1">
        <f t="array" aca="1" ref="I20" ca="1">calculateVeggie($C20, $D20, I$16)</f>
        <v/>
      </c>
      <c r="J20" s="135" t="str" cm="1">
        <f t="array" aca="1" ref="J20" ca="1">calculateVeggie($C20, $D20, J$16)</f>
        <v/>
      </c>
      <c r="K20" s="135" t="str" cm="1">
        <f t="array" aca="1" ref="K20" ca="1">calculateVeggie($C20, $D20, K$16)</f>
        <v/>
      </c>
      <c r="L20" s="135" t="str" cm="1">
        <f t="array" aca="1" ref="L20" ca="1">calculateVeggie($C20, $D20, L$16)</f>
        <v/>
      </c>
      <c r="M20" s="135" t="str" cm="1">
        <f t="array" aca="1" ref="M20" ca="1">calculateVeggie($C20, $D20, M$16)</f>
        <v/>
      </c>
      <c r="N20" s="135" t="str" cm="1">
        <f t="array" aca="1" ref="N20" ca="1">calculateVeggie($C20, $D20, N$16)</f>
        <v/>
      </c>
      <c r="O20" s="135" t="str" cm="1">
        <f t="array" aca="1" ref="O20" ca="1">calculateVeggie($C20, $D20, O$16)</f>
        <v/>
      </c>
    </row>
    <row r="21" spans="3:15" x14ac:dyDescent="0.3">
      <c r="C21" s="131"/>
      <c r="D21" s="157" t="str" cm="1">
        <f t="array" ref="D21">IF(LEN(C21)&gt;0, IF(hasServingUnits(C21), IF(getServingCount(C21)&gt;0, getServingCount(C21), "Default"), "Default"), "")</f>
        <v/>
      </c>
      <c r="E21" s="157" t="str" cm="1">
        <f t="array" ref="E21">IF(LEN(C21)&gt;0, IF(hasServingUnits(C21), getServingUnits(C21), ""), "")</f>
        <v/>
      </c>
      <c r="F21" s="135" t="str" cm="1">
        <f t="array" aca="1" ref="F21" ca="1">calculateVeggie($C21, $D21, F$16)</f>
        <v/>
      </c>
      <c r="G21" s="135" t="str" cm="1">
        <f t="array" aca="1" ref="G21" ca="1">calculateVeggie($C21, $D21, G$16)</f>
        <v/>
      </c>
      <c r="H21" s="135" t="str" cm="1">
        <f t="array" aca="1" ref="H21" ca="1">calculateVeggie($C21, $D21, H$16)</f>
        <v/>
      </c>
      <c r="I21" s="135" t="str" cm="1">
        <f t="array" aca="1" ref="I21" ca="1">calculateVeggie($C21, $D21, I$16)</f>
        <v/>
      </c>
      <c r="J21" s="135" t="str" cm="1">
        <f t="array" aca="1" ref="J21" ca="1">calculateVeggie($C21, $D21, J$16)</f>
        <v/>
      </c>
      <c r="K21" s="135" t="str" cm="1">
        <f t="array" aca="1" ref="K21" ca="1">calculateVeggie($C21, $D21, K$16)</f>
        <v/>
      </c>
      <c r="L21" s="135" t="str" cm="1">
        <f t="array" aca="1" ref="L21" ca="1">calculateVeggie($C21, $D21, L$16)</f>
        <v/>
      </c>
      <c r="M21" s="135" t="str" cm="1">
        <f t="array" aca="1" ref="M21" ca="1">calculateVeggie($C21, $D21, M$16)</f>
        <v/>
      </c>
      <c r="N21" s="135" t="str" cm="1">
        <f t="array" aca="1" ref="N21" ca="1">calculateVeggie($C21, $D21, N$16)</f>
        <v/>
      </c>
      <c r="O21" s="135" t="str" cm="1">
        <f t="array" aca="1" ref="O21" ca="1">calculateVeggie($C21, $D21, O$16)</f>
        <v/>
      </c>
    </row>
    <row r="22" spans="3:15" x14ac:dyDescent="0.3">
      <c r="C22" s="131"/>
      <c r="D22" s="157" t="str" cm="1">
        <f t="array" ref="D22">IF(LEN(C22)&gt;0, IF(hasServingUnits(C22), IF(getServingCount(C22)&gt;0, getServingCount(C22), "Default"), "Default"), "")</f>
        <v/>
      </c>
      <c r="E22" s="157" t="str" cm="1">
        <f t="array" ref="E22">IF(LEN(C22)&gt;0, IF(hasServingUnits(C22), getServingUnits(C22), ""), "")</f>
        <v/>
      </c>
      <c r="F22" s="135" t="str" cm="1">
        <f t="array" aca="1" ref="F22" ca="1">calculateVeggie($C22, $D22, F$16)</f>
        <v/>
      </c>
      <c r="G22" s="135" t="str" cm="1">
        <f t="array" aca="1" ref="G22" ca="1">calculateVeggie($C22, $D22, G$16)</f>
        <v/>
      </c>
      <c r="H22" s="135" t="str" cm="1">
        <f t="array" aca="1" ref="H22" ca="1">calculateVeggie($C22, $D22, H$16)</f>
        <v/>
      </c>
      <c r="I22" s="135" t="str" cm="1">
        <f t="array" aca="1" ref="I22" ca="1">calculateVeggie($C22, $D22, I$16)</f>
        <v/>
      </c>
      <c r="J22" s="135" t="str" cm="1">
        <f t="array" aca="1" ref="J22" ca="1">calculateVeggie($C22, $D22, J$16)</f>
        <v/>
      </c>
      <c r="K22" s="135" t="str" cm="1">
        <f t="array" aca="1" ref="K22" ca="1">calculateVeggie($C22, $D22, K$16)</f>
        <v/>
      </c>
      <c r="L22" s="135" t="str" cm="1">
        <f t="array" aca="1" ref="L22" ca="1">calculateVeggie($C22, $D22, L$16)</f>
        <v/>
      </c>
      <c r="M22" s="135" t="str" cm="1">
        <f t="array" aca="1" ref="M22" ca="1">calculateVeggie($C22, $D22, M$16)</f>
        <v/>
      </c>
      <c r="N22" s="135" t="str" cm="1">
        <f t="array" aca="1" ref="N22" ca="1">calculateVeggie($C22, $D22, N$16)</f>
        <v/>
      </c>
      <c r="O22" s="135" t="str" cm="1">
        <f t="array" aca="1" ref="O22" ca="1">calculateVeggie($C22, $D22, O$16)</f>
        <v/>
      </c>
    </row>
    <row r="23" spans="3:15" x14ac:dyDescent="0.3">
      <c r="C23" s="131"/>
      <c r="D23" s="157" t="str" cm="1">
        <f t="array" ref="D23">IF(LEN(C23)&gt;0, IF(hasServingUnits(C23), IF(getServingCount(C23)&gt;0, getServingCount(C23), "Default"), "Default"), "")</f>
        <v/>
      </c>
      <c r="E23" s="157" t="str" cm="1">
        <f t="array" ref="E23">IF(LEN(C23)&gt;0, IF(hasServingUnits(C23), getServingUnits(C23), ""), "")</f>
        <v/>
      </c>
      <c r="F23" s="135" t="str" cm="1">
        <f t="array" aca="1" ref="F23" ca="1">calculateVeggie($C23, $D23, F$16)</f>
        <v/>
      </c>
      <c r="G23" s="135" t="str" cm="1">
        <f t="array" aca="1" ref="G23" ca="1">calculateVeggie($C23, $D23, G$16)</f>
        <v/>
      </c>
      <c r="H23" s="135" t="str" cm="1">
        <f t="array" aca="1" ref="H23" ca="1">calculateVeggie($C23, $D23, H$16)</f>
        <v/>
      </c>
      <c r="I23" s="135" t="str" cm="1">
        <f t="array" aca="1" ref="I23" ca="1">calculateVeggie($C23, $D23, I$16)</f>
        <v/>
      </c>
      <c r="J23" s="135" t="str" cm="1">
        <f t="array" aca="1" ref="J23" ca="1">calculateVeggie($C23, $D23, J$16)</f>
        <v/>
      </c>
      <c r="K23" s="135" t="str" cm="1">
        <f t="array" aca="1" ref="K23" ca="1">calculateVeggie($C23, $D23, K$16)</f>
        <v/>
      </c>
      <c r="L23" s="135" t="str" cm="1">
        <f t="array" aca="1" ref="L23" ca="1">calculateVeggie($C23, $D23, L$16)</f>
        <v/>
      </c>
      <c r="M23" s="135" t="str" cm="1">
        <f t="array" aca="1" ref="M23" ca="1">calculateVeggie($C23, $D23, M$16)</f>
        <v/>
      </c>
      <c r="N23" s="135" t="str" cm="1">
        <f t="array" aca="1" ref="N23" ca="1">calculateVeggie($C23, $D23, N$16)</f>
        <v/>
      </c>
      <c r="O23" s="135" t="str" cm="1">
        <f t="array" aca="1" ref="O23" ca="1">calculateVeggie($C23, $D23, O$16)</f>
        <v/>
      </c>
    </row>
    <row r="24" spans="3:15" x14ac:dyDescent="0.3">
      <c r="C24" s="131"/>
      <c r="D24" s="157" t="str" cm="1">
        <f t="array" ref="D24">IF(LEN(C24)&gt;0, IF(hasServingUnits(C24), IF(getServingCount(C24)&gt;0, getServingCount(C24), "Default"), "Default"), "")</f>
        <v/>
      </c>
      <c r="E24" s="157" t="str" cm="1">
        <f t="array" ref="E24">IF(LEN(C24)&gt;0, IF(hasServingUnits(C24), getServingUnits(C24), ""), "")</f>
        <v/>
      </c>
      <c r="F24" s="135" t="str" cm="1">
        <f t="array" aca="1" ref="F24" ca="1">calculateVeggie($C24, $D24, F$16)</f>
        <v/>
      </c>
      <c r="G24" s="135" t="str" cm="1">
        <f t="array" aca="1" ref="G24" ca="1">calculateVeggie($C24, $D24, G$16)</f>
        <v/>
      </c>
      <c r="H24" s="135" t="str" cm="1">
        <f t="array" aca="1" ref="H24" ca="1">calculateVeggie($C24, $D24, H$16)</f>
        <v/>
      </c>
      <c r="I24" s="135" t="str" cm="1">
        <f t="array" aca="1" ref="I24" ca="1">calculateVeggie($C24, $D24, I$16)</f>
        <v/>
      </c>
      <c r="J24" s="135" t="str" cm="1">
        <f t="array" aca="1" ref="J24" ca="1">calculateVeggie($C24, $D24, J$16)</f>
        <v/>
      </c>
      <c r="K24" s="135" t="str" cm="1">
        <f t="array" aca="1" ref="K24" ca="1">calculateVeggie($C24, $D24, K$16)</f>
        <v/>
      </c>
      <c r="L24" s="135" t="str" cm="1">
        <f t="array" aca="1" ref="L24" ca="1">calculateVeggie($C24, $D24, L$16)</f>
        <v/>
      </c>
      <c r="M24" s="135" t="str" cm="1">
        <f t="array" aca="1" ref="M24" ca="1">calculateVeggie($C24, $D24, M$16)</f>
        <v/>
      </c>
      <c r="N24" s="135" t="str" cm="1">
        <f t="array" aca="1" ref="N24" ca="1">calculateVeggie($C24, $D24, N$16)</f>
        <v/>
      </c>
      <c r="O24" s="135" t="str" cm="1">
        <f t="array" aca="1" ref="O24" ca="1">calculateVeggie($C24, $D24, O$16)</f>
        <v/>
      </c>
    </row>
    <row r="25" spans="3:15" x14ac:dyDescent="0.3">
      <c r="C25" s="131"/>
      <c r="D25" s="157" t="str" cm="1">
        <f t="array" ref="D25">IF(LEN(C25)&gt;0, IF(hasServingUnits(C25), IF(getServingCount(C25)&gt;0, getServingCount(C25), "Default"), "Default"), "")</f>
        <v/>
      </c>
      <c r="E25" s="157" t="str" cm="1">
        <f t="array" ref="E25">IF(LEN(C25)&gt;0, IF(hasServingUnits(C25), getServingUnits(C25), ""), "")</f>
        <v/>
      </c>
      <c r="F25" s="135" t="str" cm="1">
        <f t="array" aca="1" ref="F25" ca="1">calculateVeggie($C25, $D25, F$16)</f>
        <v/>
      </c>
      <c r="G25" s="135" t="str" cm="1">
        <f t="array" aca="1" ref="G25" ca="1">calculateVeggie($C25, $D25, G$16)</f>
        <v/>
      </c>
      <c r="H25" s="135" t="str" cm="1">
        <f t="array" aca="1" ref="H25" ca="1">calculateVeggie($C25, $D25, H$16)</f>
        <v/>
      </c>
      <c r="I25" s="135" t="str" cm="1">
        <f t="array" aca="1" ref="I25" ca="1">calculateVeggie($C25, $D25, I$16)</f>
        <v/>
      </c>
      <c r="J25" s="135" t="str" cm="1">
        <f t="array" aca="1" ref="J25" ca="1">calculateVeggie($C25, $D25, J$16)</f>
        <v/>
      </c>
      <c r="K25" s="135" t="str" cm="1">
        <f t="array" aca="1" ref="K25" ca="1">calculateVeggie($C25, $D25, K$16)</f>
        <v/>
      </c>
      <c r="L25" s="135" t="str" cm="1">
        <f t="array" aca="1" ref="L25" ca="1">calculateVeggie($C25, $D25, L$16)</f>
        <v/>
      </c>
      <c r="M25" s="135" t="str" cm="1">
        <f t="array" aca="1" ref="M25" ca="1">calculateVeggie($C25, $D25, M$16)</f>
        <v/>
      </c>
      <c r="N25" s="135" t="str" cm="1">
        <f t="array" aca="1" ref="N25" ca="1">calculateVeggie($C25, $D25, N$16)</f>
        <v/>
      </c>
      <c r="O25" s="135" t="str" cm="1">
        <f t="array" aca="1" ref="O25" ca="1">calculateVeggie($C25, $D25, O$16)</f>
        <v/>
      </c>
    </row>
    <row r="26" spans="3:15" x14ac:dyDescent="0.3">
      <c r="C26" s="131"/>
      <c r="D26" s="157" t="str" cm="1">
        <f t="array" ref="D26">IF(LEN(C26)&gt;0, IF(hasServingUnits(C26), IF(getServingCount(C26)&gt;0, getServingCount(C26), "Default"), "Default"), "")</f>
        <v/>
      </c>
      <c r="E26" s="157" t="str" cm="1">
        <f t="array" ref="E26">IF(LEN(C26)&gt;0, IF(hasServingUnits(C26), getServingUnits(C26), ""), "")</f>
        <v/>
      </c>
      <c r="F26" s="135" t="str" cm="1">
        <f t="array" aca="1" ref="F26" ca="1">calculateVeggie($C26, $D26, F$16)</f>
        <v/>
      </c>
      <c r="G26" s="135" t="str" cm="1">
        <f t="array" aca="1" ref="G26" ca="1">calculateVeggie($C26, $D26, G$16)</f>
        <v/>
      </c>
      <c r="H26" s="135" t="str" cm="1">
        <f t="array" aca="1" ref="H26" ca="1">calculateVeggie($C26, $D26, H$16)</f>
        <v/>
      </c>
      <c r="I26" s="135" t="str" cm="1">
        <f t="array" aca="1" ref="I26" ca="1">calculateVeggie($C26, $D26, I$16)</f>
        <v/>
      </c>
      <c r="J26" s="135" t="str" cm="1">
        <f t="array" aca="1" ref="J26" ca="1">calculateVeggie($C26, $D26, J$16)</f>
        <v/>
      </c>
      <c r="K26" s="135" t="str" cm="1">
        <f t="array" aca="1" ref="K26" ca="1">calculateVeggie($C26, $D26, K$16)</f>
        <v/>
      </c>
      <c r="L26" s="135" t="str" cm="1">
        <f t="array" aca="1" ref="L26" ca="1">calculateVeggie($C26, $D26, L$16)</f>
        <v/>
      </c>
      <c r="M26" s="135" t="str" cm="1">
        <f t="array" aca="1" ref="M26" ca="1">calculateVeggie($C26, $D26, M$16)</f>
        <v/>
      </c>
      <c r="N26" s="135" t="str" cm="1">
        <f t="array" aca="1" ref="N26" ca="1">calculateVeggie($C26, $D26, N$16)</f>
        <v/>
      </c>
      <c r="O26" s="135" t="str" cm="1">
        <f t="array" aca="1" ref="O26" ca="1">calculateVeggie($C26, $D26, O$16)</f>
        <v/>
      </c>
    </row>
    <row r="27" spans="3:15" x14ac:dyDescent="0.3">
      <c r="C27" s="131"/>
      <c r="D27" s="157" t="str" cm="1">
        <f t="array" ref="D27">IF(LEN(C27)&gt;0, IF(hasServingUnits(C27), IF(getServingCount(C27)&gt;0, getServingCount(C27), "Default"), "Default"), "")</f>
        <v/>
      </c>
      <c r="E27" s="157" t="str" cm="1">
        <f t="array" ref="E27">IF(LEN(C27)&gt;0, IF(hasServingUnits(C27), getServingUnits(C27), ""), "")</f>
        <v/>
      </c>
      <c r="F27" s="135" t="str" cm="1">
        <f t="array" aca="1" ref="F27" ca="1">calculateVeggie($C27, $D27, F$16)</f>
        <v/>
      </c>
      <c r="G27" s="135" t="str" cm="1">
        <f t="array" aca="1" ref="G27" ca="1">calculateVeggie($C27, $D27, G$16)</f>
        <v/>
      </c>
      <c r="H27" s="135" t="str" cm="1">
        <f t="array" aca="1" ref="H27" ca="1">calculateVeggie($C27, $D27, H$16)</f>
        <v/>
      </c>
      <c r="I27" s="135" t="str" cm="1">
        <f t="array" aca="1" ref="I27" ca="1">calculateVeggie($C27, $D27, I$16)</f>
        <v/>
      </c>
      <c r="J27" s="135" t="str" cm="1">
        <f t="array" aca="1" ref="J27" ca="1">calculateVeggie($C27, $D27, J$16)</f>
        <v/>
      </c>
      <c r="K27" s="135" t="str" cm="1">
        <f t="array" aca="1" ref="K27" ca="1">calculateVeggie($C27, $D27, K$16)</f>
        <v/>
      </c>
      <c r="L27" s="135" t="str" cm="1">
        <f t="array" aca="1" ref="L27" ca="1">calculateVeggie($C27, $D27, L$16)</f>
        <v/>
      </c>
      <c r="M27" s="135" t="str" cm="1">
        <f t="array" aca="1" ref="M27" ca="1">calculateVeggie($C27, $D27, M$16)</f>
        <v/>
      </c>
      <c r="N27" s="135" t="str" cm="1">
        <f t="array" aca="1" ref="N27" ca="1">calculateVeggie($C27, $D27, N$16)</f>
        <v/>
      </c>
      <c r="O27" s="135" t="str" cm="1">
        <f t="array" aca="1" ref="O27" ca="1">calculateVeggie($C27, $D27, O$16)</f>
        <v/>
      </c>
    </row>
    <row r="28" spans="3:15" x14ac:dyDescent="0.3">
      <c r="C28" s="131"/>
      <c r="D28" s="157" t="str" cm="1">
        <f t="array" ref="D28">IF(LEN(C28)&gt;0, IF(hasServingUnits(C28), IF(getServingCount(C28)&gt;0, getServingCount(C28), "Default"), "Default"), "")</f>
        <v/>
      </c>
      <c r="E28" s="157" t="str" cm="1">
        <f t="array" ref="E28">IF(LEN(C28)&gt;0, IF(hasServingUnits(C28), getServingUnits(C28), ""), "")</f>
        <v/>
      </c>
      <c r="F28" s="135" t="str" cm="1">
        <f t="array" aca="1" ref="F28" ca="1">calculateVeggie($C28, $D28, F$16)</f>
        <v/>
      </c>
      <c r="G28" s="135" t="str" cm="1">
        <f t="array" aca="1" ref="G28" ca="1">calculateVeggie($C28, $D28, G$16)</f>
        <v/>
      </c>
      <c r="H28" s="135" t="str" cm="1">
        <f t="array" aca="1" ref="H28" ca="1">calculateVeggie($C28, $D28, H$16)</f>
        <v/>
      </c>
      <c r="I28" s="135" t="str" cm="1">
        <f t="array" aca="1" ref="I28" ca="1">calculateVeggie($C28, $D28, I$16)</f>
        <v/>
      </c>
      <c r="J28" s="135" t="str" cm="1">
        <f t="array" aca="1" ref="J28" ca="1">calculateVeggie($C28, $D28, J$16)</f>
        <v/>
      </c>
      <c r="K28" s="135" t="str" cm="1">
        <f t="array" aca="1" ref="K28" ca="1">calculateVeggie($C28, $D28, K$16)</f>
        <v/>
      </c>
      <c r="L28" s="135" t="str" cm="1">
        <f t="array" aca="1" ref="L28" ca="1">calculateVeggie($C28, $D28, L$16)</f>
        <v/>
      </c>
      <c r="M28" s="135" t="str" cm="1">
        <f t="array" aca="1" ref="M28" ca="1">calculateVeggie($C28, $D28, M$16)</f>
        <v/>
      </c>
      <c r="N28" s="135" t="str" cm="1">
        <f t="array" aca="1" ref="N28" ca="1">calculateVeggie($C28, $D28, N$16)</f>
        <v/>
      </c>
      <c r="O28" s="135" t="str" cm="1">
        <f t="array" aca="1" ref="O28" ca="1">calculateVeggie($C28, $D28, O$16)</f>
        <v/>
      </c>
    </row>
    <row r="29" spans="3:15" x14ac:dyDescent="0.3">
      <c r="C29" s="131"/>
      <c r="D29" s="157" t="str" cm="1">
        <f t="array" ref="D29">IF(LEN(C29)&gt;0, IF(hasServingUnits(C29), IF(getServingCount(C29)&gt;0, getServingCount(C29), "Default"), "Default"), "")</f>
        <v/>
      </c>
      <c r="E29" s="157" t="str" cm="1">
        <f t="array" ref="E29">IF(LEN(C29)&gt;0, IF(hasServingUnits(C29), getServingUnits(C29), ""), "")</f>
        <v/>
      </c>
      <c r="F29" s="135" t="str" cm="1">
        <f t="array" aca="1" ref="F29" ca="1">calculateVeggie($C29, $D29, F$16)</f>
        <v/>
      </c>
      <c r="G29" s="135" t="str" cm="1">
        <f t="array" aca="1" ref="G29" ca="1">calculateVeggie($C29, $D29, G$16)</f>
        <v/>
      </c>
      <c r="H29" s="135" t="str" cm="1">
        <f t="array" aca="1" ref="H29" ca="1">calculateVeggie($C29, $D29, H$16)</f>
        <v/>
      </c>
      <c r="I29" s="135" t="str" cm="1">
        <f t="array" aca="1" ref="I29" ca="1">calculateVeggie($C29, $D29, I$16)</f>
        <v/>
      </c>
      <c r="J29" s="135" t="str" cm="1">
        <f t="array" aca="1" ref="J29" ca="1">calculateVeggie($C29, $D29, J$16)</f>
        <v/>
      </c>
      <c r="K29" s="135" t="str" cm="1">
        <f t="array" aca="1" ref="K29" ca="1">calculateVeggie($C29, $D29, K$16)</f>
        <v/>
      </c>
      <c r="L29" s="135" t="str" cm="1">
        <f t="array" aca="1" ref="L29" ca="1">calculateVeggie($C29, $D29, L$16)</f>
        <v/>
      </c>
      <c r="M29" s="135" t="str" cm="1">
        <f t="array" aca="1" ref="M29" ca="1">calculateVeggie($C29, $D29, M$16)</f>
        <v/>
      </c>
      <c r="N29" s="135" t="str" cm="1">
        <f t="array" aca="1" ref="N29" ca="1">calculateVeggie($C29, $D29, N$16)</f>
        <v/>
      </c>
      <c r="O29" s="135" t="str" cm="1">
        <f t="array" aca="1" ref="O29" ca="1">calculateVeggie($C29, $D29, O$16)</f>
        <v/>
      </c>
    </row>
    <row r="30" spans="3:15" x14ac:dyDescent="0.3">
      <c r="C30" s="131"/>
      <c r="D30" s="157" t="str" cm="1">
        <f t="array" ref="D30">IF(LEN(C30)&gt;0, IF(hasServingUnits(C30), IF(getServingCount(C30)&gt;0, getServingCount(C30), "Default"), "Default"), "")</f>
        <v/>
      </c>
      <c r="E30" s="157" t="str" cm="1">
        <f t="array" ref="E30">IF(LEN(C30)&gt;0, IF(hasServingUnits(C30), getServingUnits(C30), ""), "")</f>
        <v/>
      </c>
      <c r="F30" s="135" t="str" cm="1">
        <f t="array" aca="1" ref="F30" ca="1">calculateVeggie($C30, $D30, F$16)</f>
        <v/>
      </c>
      <c r="G30" s="135" t="str" cm="1">
        <f t="array" aca="1" ref="G30" ca="1">calculateVeggie($C30, $D30, G$16)</f>
        <v/>
      </c>
      <c r="H30" s="135" t="str" cm="1">
        <f t="array" aca="1" ref="H30" ca="1">calculateVeggie($C30, $D30, H$16)</f>
        <v/>
      </c>
      <c r="I30" s="135" t="str" cm="1">
        <f t="array" aca="1" ref="I30" ca="1">calculateVeggie($C30, $D30, I$16)</f>
        <v/>
      </c>
      <c r="J30" s="135" t="str" cm="1">
        <f t="array" aca="1" ref="J30" ca="1">calculateVeggie($C30, $D30, J$16)</f>
        <v/>
      </c>
      <c r="K30" s="135" t="str" cm="1">
        <f t="array" aca="1" ref="K30" ca="1">calculateVeggie($C30, $D30, K$16)</f>
        <v/>
      </c>
      <c r="L30" s="135" t="str" cm="1">
        <f t="array" aca="1" ref="L30" ca="1">calculateVeggie($C30, $D30, L$16)</f>
        <v/>
      </c>
      <c r="M30" s="135" t="str" cm="1">
        <f t="array" aca="1" ref="M30" ca="1">calculateVeggie($C30, $D30, M$16)</f>
        <v/>
      </c>
      <c r="N30" s="135" t="str" cm="1">
        <f t="array" aca="1" ref="N30" ca="1">calculateVeggie($C30, $D30, N$16)</f>
        <v/>
      </c>
      <c r="O30" s="135" t="str" cm="1">
        <f t="array" aca="1" ref="O30" ca="1">calculateVeggie($C30, $D30, O$16)</f>
        <v/>
      </c>
    </row>
    <row r="31" spans="3:15" ht="21.5" thickBot="1" x14ac:dyDescent="0.35">
      <c r="C31" s="112" t="s">
        <v>281</v>
      </c>
      <c r="D31" s="126">
        <f t="shared" ref="D31:E31" si="2">SUM(D18:D30)</f>
        <v>0</v>
      </c>
      <c r="E31" s="126">
        <f t="shared" si="2"/>
        <v>0</v>
      </c>
      <c r="F31" s="126">
        <f t="shared" ref="F31:N31" ca="1" si="3">SUM(F18:F30)</f>
        <v>0</v>
      </c>
      <c r="G31" s="126">
        <f t="shared" ca="1" si="3"/>
        <v>0</v>
      </c>
      <c r="H31" s="126">
        <f t="shared" ca="1" si="3"/>
        <v>0</v>
      </c>
      <c r="I31" s="126">
        <f t="shared" ca="1" si="3"/>
        <v>0</v>
      </c>
      <c r="J31" s="126">
        <f t="shared" ca="1" si="3"/>
        <v>0</v>
      </c>
      <c r="K31" s="126">
        <f t="shared" ca="1" si="3"/>
        <v>0</v>
      </c>
      <c r="L31" s="126">
        <f t="shared" ca="1" si="3"/>
        <v>0</v>
      </c>
      <c r="M31" s="126">
        <f t="shared" ca="1" si="3"/>
        <v>0</v>
      </c>
      <c r="N31" s="126">
        <f t="shared" ca="1" si="3"/>
        <v>0</v>
      </c>
      <c r="O31" s="127">
        <f t="shared" ref="O31" ca="1" si="4">SUM(O18:O30)</f>
        <v>0</v>
      </c>
    </row>
    <row r="33" spans="3:15" ht="21.5" thickBot="1" x14ac:dyDescent="0.35"/>
    <row r="34" spans="3:15" x14ac:dyDescent="0.3">
      <c r="C34" s="108"/>
      <c r="D34" s="109">
        <v>2</v>
      </c>
      <c r="E34" s="109">
        <v>3</v>
      </c>
      <c r="F34" s="109">
        <v>4</v>
      </c>
      <c r="G34" s="109">
        <v>5</v>
      </c>
      <c r="H34" s="109">
        <v>6</v>
      </c>
      <c r="I34" s="109">
        <v>7</v>
      </c>
      <c r="J34" s="109">
        <v>8</v>
      </c>
      <c r="K34" s="109">
        <v>9</v>
      </c>
      <c r="L34" s="109">
        <v>10</v>
      </c>
      <c r="M34" s="109">
        <v>11</v>
      </c>
      <c r="N34" s="109">
        <v>12</v>
      </c>
      <c r="O34" s="110">
        <v>13</v>
      </c>
    </row>
    <row r="35" spans="3:15" x14ac:dyDescent="0.3">
      <c r="C35" s="128" t="s">
        <v>263</v>
      </c>
      <c r="D35" s="104" t="s">
        <v>253</v>
      </c>
      <c r="E35" s="104" t="s">
        <v>254</v>
      </c>
      <c r="F35" s="104" t="s">
        <v>157</v>
      </c>
      <c r="G35" s="104" t="s">
        <v>158</v>
      </c>
      <c r="H35" s="104" t="s">
        <v>159</v>
      </c>
      <c r="I35" s="104" t="s">
        <v>160</v>
      </c>
      <c r="J35" s="104" t="s">
        <v>161</v>
      </c>
      <c r="K35" s="104" t="s">
        <v>162</v>
      </c>
      <c r="L35" s="104" t="s">
        <v>163</v>
      </c>
      <c r="M35" s="104" t="s">
        <v>164</v>
      </c>
      <c r="N35" s="104" t="s">
        <v>165</v>
      </c>
      <c r="O35" s="137" t="s">
        <v>166</v>
      </c>
    </row>
    <row r="36" spans="3:15" x14ac:dyDescent="0.3">
      <c r="C36" s="118" t="str" cm="1">
        <f t="array" ref="C36">_xlfn._xlws.FILTER(SelectionT[Cheese], SelectionT[Cheese]&lt;&gt;0, "")</f>
        <v/>
      </c>
      <c r="D36" s="156" t="str" cm="1">
        <f t="array" ref="D36">IF(LEN(C36)&gt;0, IF(hasServingUnits(C36), IF(getServingCount(C36)&gt;0, getServingCount(C36), "Default"), "Default"), "")</f>
        <v/>
      </c>
      <c r="E36" s="156" t="str" cm="1">
        <f t="array" ref="E36">IF(LEN(C36)&gt;0, IF(hasServingUnits(C36), getServingUnits(C36), ""), "")</f>
        <v/>
      </c>
      <c r="F36" s="105" t="str" cm="1">
        <f t="array" aca="1" ref="F36" ca="1">calculateCheese($C36, $D36, F$34)</f>
        <v/>
      </c>
      <c r="G36" s="105" t="str" cm="1">
        <f t="array" aca="1" ref="G36" ca="1">calculateCheese($C36, $D36, G$34)</f>
        <v/>
      </c>
      <c r="H36" s="105" t="str" cm="1">
        <f t="array" aca="1" ref="H36" ca="1">calculateCheese($C36, $D36, H$34)</f>
        <v/>
      </c>
      <c r="I36" s="105" t="str" cm="1">
        <f t="array" aca="1" ref="I36" ca="1">calculateCheese($C36, $D36, I$34)</f>
        <v/>
      </c>
      <c r="J36" s="105" t="str" cm="1">
        <f t="array" aca="1" ref="J36" ca="1">calculateCheese($C36, $D36, J$34)</f>
        <v/>
      </c>
      <c r="K36" s="105" t="str" cm="1">
        <f t="array" aca="1" ref="K36" ca="1">calculateCheese($C36, $D36, K$34)</f>
        <v/>
      </c>
      <c r="L36" s="105" t="str" cm="1">
        <f t="array" aca="1" ref="L36" ca="1">calculateCheese($C36, $D36, L$34)</f>
        <v/>
      </c>
      <c r="M36" s="105" t="str" cm="1">
        <f t="array" aca="1" ref="M36" ca="1">calculateCheese($C36, $D36, M$34)</f>
        <v/>
      </c>
      <c r="N36" s="105" t="str" cm="1">
        <f t="array" aca="1" ref="N36" ca="1">calculateCheese($C36, $D36, N$34)</f>
        <v/>
      </c>
      <c r="O36" s="130" t="str" cm="1">
        <f t="array" aca="1" ref="O36" ca="1">calculateCheese($C36, $D36, O$34)</f>
        <v/>
      </c>
    </row>
    <row r="37" spans="3:15" x14ac:dyDescent="0.3">
      <c r="C37" s="118"/>
      <c r="D37" s="156" t="str" cm="1">
        <f t="array" ref="D37">IF(LEN(C37)&gt;0, IF(hasServingUnits(C37), IF(getServingCount(C37)&gt;0, getServingCount(C37), "Default"), "Default"), "")</f>
        <v/>
      </c>
      <c r="E37" s="156" t="str" cm="1">
        <f t="array" ref="E37">IF(LEN(C37)&gt;0, IF(hasServingUnits(C37), getServingUnits(C37), ""), "")</f>
        <v/>
      </c>
      <c r="F37" s="105" t="str" cm="1">
        <f t="array" aca="1" ref="F37" ca="1">calculateCheese($C37, $D37, F$34)</f>
        <v/>
      </c>
      <c r="G37" s="105" t="str" cm="1">
        <f t="array" aca="1" ref="G37" ca="1">calculateCheese($C37, $D37, G$34)</f>
        <v/>
      </c>
      <c r="H37" s="105" t="str" cm="1">
        <f t="array" aca="1" ref="H37" ca="1">calculateCheese($C37, $D37, H$34)</f>
        <v/>
      </c>
      <c r="I37" s="105" t="str" cm="1">
        <f t="array" aca="1" ref="I37" ca="1">calculateCheese($C37, $D37, I$34)</f>
        <v/>
      </c>
      <c r="J37" s="105" t="str" cm="1">
        <f t="array" aca="1" ref="J37" ca="1">calculateCheese($C37, $D37, J$34)</f>
        <v/>
      </c>
      <c r="K37" s="105" t="str" cm="1">
        <f t="array" aca="1" ref="K37" ca="1">calculateCheese($C37, $D37, K$34)</f>
        <v/>
      </c>
      <c r="L37" s="105" t="str" cm="1">
        <f t="array" aca="1" ref="L37" ca="1">calculateCheese($C37, $D37, L$34)</f>
        <v/>
      </c>
      <c r="M37" s="105" t="str" cm="1">
        <f t="array" aca="1" ref="M37" ca="1">calculateCheese($C37, $D37, M$34)</f>
        <v/>
      </c>
      <c r="N37" s="105" t="str" cm="1">
        <f t="array" aca="1" ref="N37" ca="1">calculateCheese($C37, $D37, N$34)</f>
        <v/>
      </c>
      <c r="O37" s="105" t="str" cm="1">
        <f t="array" aca="1" ref="O37" ca="1">calculateCheese($C37, $D37, O$34)</f>
        <v/>
      </c>
    </row>
    <row r="38" spans="3:15" x14ac:dyDescent="0.3">
      <c r="C38" s="118"/>
      <c r="D38" s="156" t="str" cm="1">
        <f t="array" ref="D38">IF(LEN(C38)&gt;0, IF(hasServingUnits(C38), IF(getServingCount(C38)&gt;0, getServingCount(C38), "Default"), "Default"), "")</f>
        <v/>
      </c>
      <c r="E38" s="156" t="str" cm="1">
        <f t="array" ref="E38">IF(LEN(C38)&gt;0, IF(hasServingUnits(C38), getServingUnits(C38), ""), "")</f>
        <v/>
      </c>
      <c r="F38" s="105" t="str" cm="1">
        <f t="array" aca="1" ref="F38" ca="1">calculateCheese($C38, $D38, F$34)</f>
        <v/>
      </c>
      <c r="G38" s="105" t="str" cm="1">
        <f t="array" aca="1" ref="G38" ca="1">calculateCheese($C38, $D38, G$34)</f>
        <v/>
      </c>
      <c r="H38" s="105" t="str" cm="1">
        <f t="array" aca="1" ref="H38" ca="1">calculateCheese($C38, $D38, H$34)</f>
        <v/>
      </c>
      <c r="I38" s="105" t="str" cm="1">
        <f t="array" aca="1" ref="I38" ca="1">calculateCheese($C38, $D38, I$34)</f>
        <v/>
      </c>
      <c r="J38" s="105" t="str" cm="1">
        <f t="array" aca="1" ref="J38" ca="1">calculateCheese($C38, $D38, J$34)</f>
        <v/>
      </c>
      <c r="K38" s="105" t="str" cm="1">
        <f t="array" aca="1" ref="K38" ca="1">calculateCheese($C38, $D38, K$34)</f>
        <v/>
      </c>
      <c r="L38" s="105" t="str" cm="1">
        <f t="array" aca="1" ref="L38" ca="1">calculateCheese($C38, $D38, L$34)</f>
        <v/>
      </c>
      <c r="M38" s="105" t="str" cm="1">
        <f t="array" aca="1" ref="M38" ca="1">calculateCheese($C38, $D38, M$34)</f>
        <v/>
      </c>
      <c r="N38" s="105" t="str" cm="1">
        <f t="array" aca="1" ref="N38" ca="1">calculateCheese($C38, $D38, N$34)</f>
        <v/>
      </c>
      <c r="O38" s="105" t="str" cm="1">
        <f t="array" aca="1" ref="O38" ca="1">calculateCheese($C38, $D38, O$34)</f>
        <v/>
      </c>
    </row>
    <row r="39" spans="3:15" ht="21.5" thickBot="1" x14ac:dyDescent="0.35">
      <c r="C39" s="119" t="s">
        <v>281</v>
      </c>
      <c r="D39" s="132">
        <f t="shared" ref="D39:H39" si="5">SUM(D36:D38)</f>
        <v>0</v>
      </c>
      <c r="E39" s="132">
        <f t="shared" si="5"/>
        <v>0</v>
      </c>
      <c r="F39" s="132">
        <f t="shared" ca="1" si="5"/>
        <v>0</v>
      </c>
      <c r="G39" s="132">
        <f t="shared" ca="1" si="5"/>
        <v>0</v>
      </c>
      <c r="H39" s="132">
        <f t="shared" ca="1" si="5"/>
        <v>0</v>
      </c>
      <c r="I39" s="132">
        <f t="shared" ref="I39:N39" ca="1" si="6">SUM(I36:I38)</f>
        <v>0</v>
      </c>
      <c r="J39" s="132">
        <f t="shared" ca="1" si="6"/>
        <v>0</v>
      </c>
      <c r="K39" s="132">
        <f t="shared" ca="1" si="6"/>
        <v>0</v>
      </c>
      <c r="L39" s="132">
        <f t="shared" ca="1" si="6"/>
        <v>0</v>
      </c>
      <c r="M39" s="132">
        <f t="shared" ca="1" si="6"/>
        <v>0</v>
      </c>
      <c r="N39" s="132">
        <f t="shared" ca="1" si="6"/>
        <v>0</v>
      </c>
      <c r="O39" s="133">
        <f t="shared" ref="O39" ca="1" si="7">SUM(O36:O38)</f>
        <v>0</v>
      </c>
    </row>
    <row r="41" spans="3:15" ht="21.5" thickBot="1" x14ac:dyDescent="0.35">
      <c r="C41" s="101"/>
      <c r="D41" s="101"/>
      <c r="E41" s="101"/>
      <c r="F41" s="101"/>
    </row>
    <row r="42" spans="3:15" x14ac:dyDescent="0.3">
      <c r="C42" s="108"/>
      <c r="D42" s="109">
        <v>2</v>
      </c>
      <c r="E42" s="109">
        <v>3</v>
      </c>
      <c r="F42" s="109">
        <v>4</v>
      </c>
      <c r="G42" s="109">
        <v>5</v>
      </c>
      <c r="H42" s="109">
        <v>6</v>
      </c>
      <c r="I42" s="109">
        <v>7</v>
      </c>
      <c r="J42" s="109">
        <v>8</v>
      </c>
      <c r="K42" s="109">
        <v>9</v>
      </c>
      <c r="L42" s="109">
        <v>10</v>
      </c>
      <c r="M42" s="110">
        <v>11</v>
      </c>
    </row>
    <row r="43" spans="3:15" x14ac:dyDescent="0.3">
      <c r="C43" s="124" t="s">
        <v>266</v>
      </c>
      <c r="D43" s="123" t="s">
        <v>157</v>
      </c>
      <c r="E43" s="123" t="s">
        <v>158</v>
      </c>
      <c r="F43" s="123" t="s">
        <v>159</v>
      </c>
      <c r="G43" s="123" t="s">
        <v>160</v>
      </c>
      <c r="H43" s="123" t="s">
        <v>161</v>
      </c>
      <c r="I43" s="123" t="s">
        <v>162</v>
      </c>
      <c r="J43" s="123" t="s">
        <v>163</v>
      </c>
      <c r="K43" s="123" t="s">
        <v>164</v>
      </c>
      <c r="L43" s="123" t="s">
        <v>165</v>
      </c>
      <c r="M43" s="134" t="s">
        <v>166</v>
      </c>
    </row>
    <row r="44" spans="3:15" x14ac:dyDescent="0.3">
      <c r="C44" s="131" t="str" cm="1">
        <f t="array" ref="C44">_xlfn._xlws.FILTER(SelectionT[Toppings], SelectionT[Toppings]&lt;&gt;0, "")</f>
        <v/>
      </c>
      <c r="D44" s="138" t="str">
        <f>IF(LEN($C44)&gt;0, VLOOKUP($C44, ToppingsT[], D$42, FALSE), "")</f>
        <v/>
      </c>
      <c r="E44" s="138" t="str">
        <f>IF(LEN($C44)&gt;0, VLOOKUP($C44, ToppingsT[], E$42, FALSE), "")</f>
        <v/>
      </c>
      <c r="F44" s="138" t="str">
        <f>IF(LEN($C44)&gt;0, VLOOKUP($C44, ToppingsT[], F$42, FALSE), "")</f>
        <v/>
      </c>
      <c r="G44" s="138" t="str">
        <f>IF(LEN($C44)&gt;0, VLOOKUP($C44, ToppingsT[], G$42, FALSE), "")</f>
        <v/>
      </c>
      <c r="H44" s="138" t="str">
        <f>IF(LEN($C44)&gt;0, VLOOKUP($C44, ToppingsT[], H$42, FALSE), "")</f>
        <v/>
      </c>
      <c r="I44" s="138" t="str">
        <f>IF(LEN($C44)&gt;0, VLOOKUP($C44, ToppingsT[], I$42, FALSE), "")</f>
        <v/>
      </c>
      <c r="J44" s="138" t="str">
        <f>IF(LEN($C44)&gt;0, VLOOKUP($C44, ToppingsT[], J$42, FALSE), "")</f>
        <v/>
      </c>
      <c r="K44" s="138" t="str">
        <f>IF(LEN($C44)&gt;0, VLOOKUP($C44, ToppingsT[], K$42, FALSE), "")</f>
        <v/>
      </c>
      <c r="L44" s="138" t="str">
        <f>IF(LEN($C44)&gt;0, VLOOKUP($C44, ToppingsT[], L$42, FALSE), "")</f>
        <v/>
      </c>
      <c r="M44" s="139" t="str">
        <f>IF(LEN($C44)&gt;0, VLOOKUP($C44, ToppingsT[], M$42, FALSE), "")</f>
        <v/>
      </c>
    </row>
    <row r="45" spans="3:15" x14ac:dyDescent="0.3">
      <c r="C45" s="131"/>
      <c r="D45" s="138" t="str">
        <f>IF(LEN($C45)&gt;0, VLOOKUP($C45, ToppingsT[], D$42, FALSE), "")</f>
        <v/>
      </c>
      <c r="E45" s="138" t="str">
        <f>IF(LEN($C45)&gt;0, VLOOKUP($C45, ToppingsT[], E$42, FALSE), "")</f>
        <v/>
      </c>
      <c r="F45" s="138" t="str">
        <f>IF(LEN($C45)&gt;0, VLOOKUP($C45, ToppingsT[], F$42, FALSE), "")</f>
        <v/>
      </c>
      <c r="G45" s="138" t="str">
        <f>IF(LEN($C45)&gt;0, VLOOKUP($C45, ToppingsT[], G$42, FALSE), "")</f>
        <v/>
      </c>
      <c r="H45" s="138" t="str">
        <f>IF(LEN($C45)&gt;0, VLOOKUP($C45, ToppingsT[], H$42, FALSE), "")</f>
        <v/>
      </c>
      <c r="I45" s="138" t="str">
        <f>IF(LEN($C45)&gt;0, VLOOKUP($C45, ToppingsT[], I$42, FALSE), "")</f>
        <v/>
      </c>
      <c r="J45" s="138" t="str">
        <f>IF(LEN($C45)&gt;0, VLOOKUP($C45, ToppingsT[], J$42, FALSE), "")</f>
        <v/>
      </c>
      <c r="K45" s="138" t="str">
        <f>IF(LEN($C45)&gt;0, VLOOKUP($C45, ToppingsT[], K$42, FALSE), "")</f>
        <v/>
      </c>
      <c r="L45" s="138" t="str">
        <f>IF(LEN($C45)&gt;0, VLOOKUP($C45, ToppingsT[], L$42, FALSE), "")</f>
        <v/>
      </c>
      <c r="M45" s="138" t="str">
        <f>IF(LEN($C45)&gt;0, VLOOKUP($C45, ToppingsT[], M$42, FALSE), "")</f>
        <v/>
      </c>
    </row>
    <row r="46" spans="3:15" x14ac:dyDescent="0.3">
      <c r="C46" s="131"/>
      <c r="D46" s="138" t="str">
        <f>IF(LEN($C46)&gt;0, VLOOKUP($C46, ToppingsT[], D$42, FALSE), "")</f>
        <v/>
      </c>
      <c r="E46" s="138" t="str">
        <f>IF(LEN($C46)&gt;0, VLOOKUP($C46, ToppingsT[], E$42, FALSE), "")</f>
        <v/>
      </c>
      <c r="F46" s="138" t="str">
        <f>IF(LEN($C46)&gt;0, VLOOKUP($C46, ToppingsT[], F$42, FALSE), "")</f>
        <v/>
      </c>
      <c r="G46" s="138" t="str">
        <f>IF(LEN($C46)&gt;0, VLOOKUP($C46, ToppingsT[], G$42, FALSE), "")</f>
        <v/>
      </c>
      <c r="H46" s="138" t="str">
        <f>IF(LEN($C46)&gt;0, VLOOKUP($C46, ToppingsT[], H$42, FALSE), "")</f>
        <v/>
      </c>
      <c r="I46" s="138" t="str">
        <f>IF(LEN($C46)&gt;0, VLOOKUP($C46, ToppingsT[], I$42, FALSE), "")</f>
        <v/>
      </c>
      <c r="J46" s="138" t="str">
        <f>IF(LEN($C46)&gt;0, VLOOKUP($C46, ToppingsT[], J$42, FALSE), "")</f>
        <v/>
      </c>
      <c r="K46" s="138" t="str">
        <f>IF(LEN($C46)&gt;0, VLOOKUP($C46, ToppingsT[], K$42, FALSE), "")</f>
        <v/>
      </c>
      <c r="L46" s="138" t="str">
        <f>IF(LEN($C46)&gt;0, VLOOKUP($C46, ToppingsT[], L$42, FALSE), "")</f>
        <v/>
      </c>
      <c r="M46" s="138" t="str">
        <f>IF(LEN($C46)&gt;0, VLOOKUP($C46, ToppingsT[], M$42, FALSE), "")</f>
        <v/>
      </c>
    </row>
    <row r="47" spans="3:15" x14ac:dyDescent="0.3">
      <c r="C47" s="131"/>
      <c r="D47" s="138" t="str">
        <f>IF(LEN($C47)&gt;0, VLOOKUP($C47, ToppingsT[], D$42, FALSE), "")</f>
        <v/>
      </c>
      <c r="E47" s="138" t="str">
        <f>IF(LEN($C47)&gt;0, VLOOKUP($C47, ToppingsT[], E$42, FALSE), "")</f>
        <v/>
      </c>
      <c r="F47" s="138" t="str">
        <f>IF(LEN($C47)&gt;0, VLOOKUP($C47, ToppingsT[], F$42, FALSE), "")</f>
        <v/>
      </c>
      <c r="G47" s="138" t="str">
        <f>IF(LEN($C47)&gt;0, VLOOKUP($C47, ToppingsT[], G$42, FALSE), "")</f>
        <v/>
      </c>
      <c r="H47" s="138" t="str">
        <f>IF(LEN($C47)&gt;0, VLOOKUP($C47, ToppingsT[], H$42, FALSE), "")</f>
        <v/>
      </c>
      <c r="I47" s="138" t="str">
        <f>IF(LEN($C47)&gt;0, VLOOKUP($C47, ToppingsT[], I$42, FALSE), "")</f>
        <v/>
      </c>
      <c r="J47" s="138" t="str">
        <f>IF(LEN($C47)&gt;0, VLOOKUP($C47, ToppingsT[], J$42, FALSE), "")</f>
        <v/>
      </c>
      <c r="K47" s="138" t="str">
        <f>IF(LEN($C47)&gt;0, VLOOKUP($C47, ToppingsT[], K$42, FALSE), "")</f>
        <v/>
      </c>
      <c r="L47" s="138" t="str">
        <f>IF(LEN($C47)&gt;0, VLOOKUP($C47, ToppingsT[], L$42, FALSE), "")</f>
        <v/>
      </c>
      <c r="M47" s="138" t="str">
        <f>IF(LEN($C47)&gt;0, VLOOKUP($C47, ToppingsT[], M$42, FALSE), "")</f>
        <v/>
      </c>
    </row>
    <row r="48" spans="3:15" x14ac:dyDescent="0.3">
      <c r="C48" s="131"/>
      <c r="D48" s="138" t="str">
        <f>IF(LEN($C48)&gt;0, VLOOKUP($C48, ToppingsT[], D$42, FALSE), "")</f>
        <v/>
      </c>
      <c r="E48" s="138" t="str">
        <f>IF(LEN($C48)&gt;0, VLOOKUP($C48, ToppingsT[], E$42, FALSE), "")</f>
        <v/>
      </c>
      <c r="F48" s="138" t="str">
        <f>IF(LEN($C48)&gt;0, VLOOKUP($C48, ToppingsT[], F$42, FALSE), "")</f>
        <v/>
      </c>
      <c r="G48" s="138" t="str">
        <f>IF(LEN($C48)&gt;0, VLOOKUP($C48, ToppingsT[], G$42, FALSE), "")</f>
        <v/>
      </c>
      <c r="H48" s="138" t="str">
        <f>IF(LEN($C48)&gt;0, VLOOKUP($C48, ToppingsT[], H$42, FALSE), "")</f>
        <v/>
      </c>
      <c r="I48" s="138" t="str">
        <f>IF(LEN($C48)&gt;0, VLOOKUP($C48, ToppingsT[], I$42, FALSE), "")</f>
        <v/>
      </c>
      <c r="J48" s="138" t="str">
        <f>IF(LEN($C48)&gt;0, VLOOKUP($C48, ToppingsT[], J$42, FALSE), "")</f>
        <v/>
      </c>
      <c r="K48" s="138" t="str">
        <f>IF(LEN($C48)&gt;0, VLOOKUP($C48, ToppingsT[], K$42, FALSE), "")</f>
        <v/>
      </c>
      <c r="L48" s="138" t="str">
        <f>IF(LEN($C48)&gt;0, VLOOKUP($C48, ToppingsT[], L$42, FALSE), "")</f>
        <v/>
      </c>
      <c r="M48" s="138" t="str">
        <f>IF(LEN($C48)&gt;0, VLOOKUP($C48, ToppingsT[], M$42, FALSE), "")</f>
        <v/>
      </c>
    </row>
    <row r="49" spans="3:13" x14ac:dyDescent="0.3">
      <c r="C49" s="131"/>
      <c r="D49" s="138" t="str">
        <f>IF(LEN($C49)&gt;0, VLOOKUP($C49, ToppingsT[], D$42, FALSE), "")</f>
        <v/>
      </c>
      <c r="E49" s="138" t="str">
        <f>IF(LEN($C49)&gt;0, VLOOKUP($C49, ToppingsT[], E$42, FALSE), "")</f>
        <v/>
      </c>
      <c r="F49" s="138" t="str">
        <f>IF(LEN($C49)&gt;0, VLOOKUP($C49, ToppingsT[], F$42, FALSE), "")</f>
        <v/>
      </c>
      <c r="G49" s="138" t="str">
        <f>IF(LEN($C49)&gt;0, VLOOKUP($C49, ToppingsT[], G$42, FALSE), "")</f>
        <v/>
      </c>
      <c r="H49" s="138" t="str">
        <f>IF(LEN($C49)&gt;0, VLOOKUP($C49, ToppingsT[], H$42, FALSE), "")</f>
        <v/>
      </c>
      <c r="I49" s="138" t="str">
        <f>IF(LEN($C49)&gt;0, VLOOKUP($C49, ToppingsT[], I$42, FALSE), "")</f>
        <v/>
      </c>
      <c r="J49" s="138" t="str">
        <f>IF(LEN($C49)&gt;0, VLOOKUP($C49, ToppingsT[], J$42, FALSE), "")</f>
        <v/>
      </c>
      <c r="K49" s="138" t="str">
        <f>IF(LEN($C49)&gt;0, VLOOKUP($C49, ToppingsT[], K$42, FALSE), "")</f>
        <v/>
      </c>
      <c r="L49" s="138" t="str">
        <f>IF(LEN($C49)&gt;0, VLOOKUP($C49, ToppingsT[], L$42, FALSE), "")</f>
        <v/>
      </c>
      <c r="M49" s="138" t="str">
        <f>IF(LEN($C49)&gt;0, VLOOKUP($C49, ToppingsT[], M$42, FALSE), "")</f>
        <v/>
      </c>
    </row>
    <row r="50" spans="3:13" x14ac:dyDescent="0.3">
      <c r="C50" s="131"/>
      <c r="D50" s="138" t="str">
        <f>IF(LEN($C50)&gt;0, VLOOKUP($C50, ToppingsT[], D$42, FALSE), "")</f>
        <v/>
      </c>
      <c r="E50" s="138" t="str">
        <f>IF(LEN($C50)&gt;0, VLOOKUP($C50, ToppingsT[], E$42, FALSE), "")</f>
        <v/>
      </c>
      <c r="F50" s="138" t="str">
        <f>IF(LEN($C50)&gt;0, VLOOKUP($C50, ToppingsT[], F$42, FALSE), "")</f>
        <v/>
      </c>
      <c r="G50" s="138" t="str">
        <f>IF(LEN($C50)&gt;0, VLOOKUP($C50, ToppingsT[], G$42, FALSE), "")</f>
        <v/>
      </c>
      <c r="H50" s="138" t="str">
        <f>IF(LEN($C50)&gt;0, VLOOKUP($C50, ToppingsT[], H$42, FALSE), "")</f>
        <v/>
      </c>
      <c r="I50" s="138" t="str">
        <f>IF(LEN($C50)&gt;0, VLOOKUP($C50, ToppingsT[], I$42, FALSE), "")</f>
        <v/>
      </c>
      <c r="J50" s="138" t="str">
        <f>IF(LEN($C50)&gt;0, VLOOKUP($C50, ToppingsT[], J$42, FALSE), "")</f>
        <v/>
      </c>
      <c r="K50" s="138" t="str">
        <f>IF(LEN($C50)&gt;0, VLOOKUP($C50, ToppingsT[], K$42, FALSE), "")</f>
        <v/>
      </c>
      <c r="L50" s="138" t="str">
        <f>IF(LEN($C50)&gt;0, VLOOKUP($C50, ToppingsT[], L$42, FALSE), "")</f>
        <v/>
      </c>
      <c r="M50" s="138" t="str">
        <f>IF(LEN($C50)&gt;0, VLOOKUP($C50, ToppingsT[], M$42, FALSE), "")</f>
        <v/>
      </c>
    </row>
    <row r="51" spans="3:13" x14ac:dyDescent="0.3">
      <c r="C51" s="131"/>
      <c r="D51" s="138" t="str">
        <f>IF(LEN($C51)&gt;0, VLOOKUP($C51, ToppingsT[], D$42, FALSE), "")</f>
        <v/>
      </c>
      <c r="E51" s="138" t="str">
        <f>IF(LEN($C51)&gt;0, VLOOKUP($C51, ToppingsT[], E$42, FALSE), "")</f>
        <v/>
      </c>
      <c r="F51" s="138" t="str">
        <f>IF(LEN($C51)&gt;0, VLOOKUP($C51, ToppingsT[], F$42, FALSE), "")</f>
        <v/>
      </c>
      <c r="G51" s="138" t="str">
        <f>IF(LEN($C51)&gt;0, VLOOKUP($C51, ToppingsT[], G$42, FALSE), "")</f>
        <v/>
      </c>
      <c r="H51" s="138" t="str">
        <f>IF(LEN($C51)&gt;0, VLOOKUP($C51, ToppingsT[], H$42, FALSE), "")</f>
        <v/>
      </c>
      <c r="I51" s="138" t="str">
        <f>IF(LEN($C51)&gt;0, VLOOKUP($C51, ToppingsT[], I$42, FALSE), "")</f>
        <v/>
      </c>
      <c r="J51" s="138" t="str">
        <f>IF(LEN($C51)&gt;0, VLOOKUP($C51, ToppingsT[], J$42, FALSE), "")</f>
        <v/>
      </c>
      <c r="K51" s="138" t="str">
        <f>IF(LEN($C51)&gt;0, VLOOKUP($C51, ToppingsT[], K$42, FALSE), "")</f>
        <v/>
      </c>
      <c r="L51" s="138" t="str">
        <f>IF(LEN($C51)&gt;0, VLOOKUP($C51, ToppingsT[], L$42, FALSE), "")</f>
        <v/>
      </c>
      <c r="M51" s="138" t="str">
        <f>IF(LEN($C51)&gt;0, VLOOKUP($C51, ToppingsT[], M$42, FALSE), "")</f>
        <v/>
      </c>
    </row>
    <row r="52" spans="3:13" x14ac:dyDescent="0.3">
      <c r="C52" s="131"/>
      <c r="D52" s="138" t="str">
        <f>IF(LEN($C52)&gt;0, VLOOKUP($C52, ToppingsT[], D$42, FALSE), "")</f>
        <v/>
      </c>
      <c r="E52" s="138" t="str">
        <f>IF(LEN($C52)&gt;0, VLOOKUP($C52, ToppingsT[], E$42, FALSE), "")</f>
        <v/>
      </c>
      <c r="F52" s="138" t="str">
        <f>IF(LEN($C52)&gt;0, VLOOKUP($C52, ToppingsT[], F$42, FALSE), "")</f>
        <v/>
      </c>
      <c r="G52" s="138" t="str">
        <f>IF(LEN($C52)&gt;0, VLOOKUP($C52, ToppingsT[], G$42, FALSE), "")</f>
        <v/>
      </c>
      <c r="H52" s="138" t="str">
        <f>IF(LEN($C52)&gt;0, VLOOKUP($C52, ToppingsT[], H$42, FALSE), "")</f>
        <v/>
      </c>
      <c r="I52" s="138" t="str">
        <f>IF(LEN($C52)&gt;0, VLOOKUP($C52, ToppingsT[], I$42, FALSE), "")</f>
        <v/>
      </c>
      <c r="J52" s="138" t="str">
        <f>IF(LEN($C52)&gt;0, VLOOKUP($C52, ToppingsT[], J$42, FALSE), "")</f>
        <v/>
      </c>
      <c r="K52" s="138" t="str">
        <f>IF(LEN($C52)&gt;0, VLOOKUP($C52, ToppingsT[], K$42, FALSE), "")</f>
        <v/>
      </c>
      <c r="L52" s="138" t="str">
        <f>IF(LEN($C52)&gt;0, VLOOKUP($C52, ToppingsT[], L$42, FALSE), "")</f>
        <v/>
      </c>
      <c r="M52" s="138" t="str">
        <f>IF(LEN($C52)&gt;0, VLOOKUP($C52, ToppingsT[], M$42, FALSE), "")</f>
        <v/>
      </c>
    </row>
    <row r="53" spans="3:13" x14ac:dyDescent="0.3">
      <c r="C53" s="131"/>
      <c r="D53" s="138" t="str">
        <f>IF(LEN($C53)&gt;0, VLOOKUP($C53, ToppingsT[], D$42, FALSE), "")</f>
        <v/>
      </c>
      <c r="E53" s="138" t="str">
        <f>IF(LEN($C53)&gt;0, VLOOKUP($C53, ToppingsT[], E$42, FALSE), "")</f>
        <v/>
      </c>
      <c r="F53" s="138" t="str">
        <f>IF(LEN($C53)&gt;0, VLOOKUP($C53, ToppingsT[], F$42, FALSE), "")</f>
        <v/>
      </c>
      <c r="G53" s="138" t="str">
        <f>IF(LEN($C53)&gt;0, VLOOKUP($C53, ToppingsT[], G$42, FALSE), "")</f>
        <v/>
      </c>
      <c r="H53" s="138" t="str">
        <f>IF(LEN($C53)&gt;0, VLOOKUP($C53, ToppingsT[], H$42, FALSE), "")</f>
        <v/>
      </c>
      <c r="I53" s="138" t="str">
        <f>IF(LEN($C53)&gt;0, VLOOKUP($C53, ToppingsT[], I$42, FALSE), "")</f>
        <v/>
      </c>
      <c r="J53" s="138" t="str">
        <f>IF(LEN($C53)&gt;0, VLOOKUP($C53, ToppingsT[], J$42, FALSE), "")</f>
        <v/>
      </c>
      <c r="K53" s="138" t="str">
        <f>IF(LEN($C53)&gt;0, VLOOKUP($C53, ToppingsT[], K$42, FALSE), "")</f>
        <v/>
      </c>
      <c r="L53" s="138" t="str">
        <f>IF(LEN($C53)&gt;0, VLOOKUP($C53, ToppingsT[], L$42, FALSE), "")</f>
        <v/>
      </c>
      <c r="M53" s="138" t="str">
        <f>IF(LEN($C53)&gt;0, VLOOKUP($C53, ToppingsT[], M$42, FALSE), "")</f>
        <v/>
      </c>
    </row>
    <row r="54" spans="3:13" x14ac:dyDescent="0.3">
      <c r="C54" s="131"/>
      <c r="D54" s="138" t="str">
        <f>IF(LEN($C54)&gt;0, VLOOKUP($C54, ToppingsT[], D$42, FALSE), "")</f>
        <v/>
      </c>
      <c r="E54" s="138" t="str">
        <f>IF(LEN($C54)&gt;0, VLOOKUP($C54, ToppingsT[], E$42, FALSE), "")</f>
        <v/>
      </c>
      <c r="F54" s="138" t="str">
        <f>IF(LEN($C54)&gt;0, VLOOKUP($C54, ToppingsT[], F$42, FALSE), "")</f>
        <v/>
      </c>
      <c r="G54" s="138" t="str">
        <f>IF(LEN($C54)&gt;0, VLOOKUP($C54, ToppingsT[], G$42, FALSE), "")</f>
        <v/>
      </c>
      <c r="H54" s="138" t="str">
        <f>IF(LEN($C54)&gt;0, VLOOKUP($C54, ToppingsT[], H$42, FALSE), "")</f>
        <v/>
      </c>
      <c r="I54" s="138" t="str">
        <f>IF(LEN($C54)&gt;0, VLOOKUP($C54, ToppingsT[], I$42, FALSE), "")</f>
        <v/>
      </c>
      <c r="J54" s="138" t="str">
        <f>IF(LEN($C54)&gt;0, VLOOKUP($C54, ToppingsT[], J$42, FALSE), "")</f>
        <v/>
      </c>
      <c r="K54" s="138" t="str">
        <f>IF(LEN($C54)&gt;0, VLOOKUP($C54, ToppingsT[], K$42, FALSE), "")</f>
        <v/>
      </c>
      <c r="L54" s="138" t="str">
        <f>IF(LEN($C54)&gt;0, VLOOKUP($C54, ToppingsT[], L$42, FALSE), "")</f>
        <v/>
      </c>
      <c r="M54" s="138" t="str">
        <f>IF(LEN($C54)&gt;0, VLOOKUP($C54, ToppingsT[], M$42, FALSE), "")</f>
        <v/>
      </c>
    </row>
    <row r="55" spans="3:13" x14ac:dyDescent="0.3">
      <c r="C55" s="131"/>
      <c r="D55" s="138" t="str">
        <f>IF(LEN($C55)&gt;0, VLOOKUP($C55, ToppingsT[], D$42, FALSE), "")</f>
        <v/>
      </c>
      <c r="E55" s="138" t="str">
        <f>IF(LEN($C55)&gt;0, VLOOKUP($C55, ToppingsT[], E$42, FALSE), "")</f>
        <v/>
      </c>
      <c r="F55" s="138" t="str">
        <f>IF(LEN($C55)&gt;0, VLOOKUP($C55, ToppingsT[], F$42, FALSE), "")</f>
        <v/>
      </c>
      <c r="G55" s="138" t="str">
        <f>IF(LEN($C55)&gt;0, VLOOKUP($C55, ToppingsT[], G$42, FALSE), "")</f>
        <v/>
      </c>
      <c r="H55" s="138" t="str">
        <f>IF(LEN($C55)&gt;0, VLOOKUP($C55, ToppingsT[], H$42, FALSE), "")</f>
        <v/>
      </c>
      <c r="I55" s="138" t="str">
        <f>IF(LEN($C55)&gt;0, VLOOKUP($C55, ToppingsT[], I$42, FALSE), "")</f>
        <v/>
      </c>
      <c r="J55" s="138" t="str">
        <f>IF(LEN($C55)&gt;0, VLOOKUP($C55, ToppingsT[], J$42, FALSE), "")</f>
        <v/>
      </c>
      <c r="K55" s="138" t="str">
        <f>IF(LEN($C55)&gt;0, VLOOKUP($C55, ToppingsT[], K$42, FALSE), "")</f>
        <v/>
      </c>
      <c r="L55" s="138" t="str">
        <f>IF(LEN($C55)&gt;0, VLOOKUP($C55, ToppingsT[], L$42, FALSE), "")</f>
        <v/>
      </c>
      <c r="M55" s="138" t="str">
        <f>IF(LEN($C55)&gt;0, VLOOKUP($C55, ToppingsT[], M$42, FALSE), "")</f>
        <v/>
      </c>
    </row>
    <row r="56" spans="3:13" x14ac:dyDescent="0.3">
      <c r="C56" s="131"/>
      <c r="D56" s="138" t="str">
        <f>IF(LEN($C56)&gt;0, VLOOKUP($C56, ToppingsT[], D$42, FALSE), "")</f>
        <v/>
      </c>
      <c r="E56" s="138" t="str">
        <f>IF(LEN($C56)&gt;0, VLOOKUP($C56, ToppingsT[], E$42, FALSE), "")</f>
        <v/>
      </c>
      <c r="F56" s="138" t="str">
        <f>IF(LEN($C56)&gt;0, VLOOKUP($C56, ToppingsT[], F$42, FALSE), "")</f>
        <v/>
      </c>
      <c r="G56" s="138" t="str">
        <f>IF(LEN($C56)&gt;0, VLOOKUP($C56, ToppingsT[], G$42, FALSE), "")</f>
        <v/>
      </c>
      <c r="H56" s="138" t="str">
        <f>IF(LEN($C56)&gt;0, VLOOKUP($C56, ToppingsT[], H$42, FALSE), "")</f>
        <v/>
      </c>
      <c r="I56" s="138" t="str">
        <f>IF(LEN($C56)&gt;0, VLOOKUP($C56, ToppingsT[], I$42, FALSE), "")</f>
        <v/>
      </c>
      <c r="J56" s="138" t="str">
        <f>IF(LEN($C56)&gt;0, VLOOKUP($C56, ToppingsT[], J$42, FALSE), "")</f>
        <v/>
      </c>
      <c r="K56" s="138" t="str">
        <f>IF(LEN($C56)&gt;0, VLOOKUP($C56, ToppingsT[], K$42, FALSE), "")</f>
        <v/>
      </c>
      <c r="L56" s="138" t="str">
        <f>IF(LEN($C56)&gt;0, VLOOKUP($C56, ToppingsT[], L$42, FALSE), "")</f>
        <v/>
      </c>
      <c r="M56" s="138" t="str">
        <f>IF(LEN($C56)&gt;0, VLOOKUP($C56, ToppingsT[], M$42, FALSE), "")</f>
        <v/>
      </c>
    </row>
    <row r="57" spans="3:13" x14ac:dyDescent="0.3">
      <c r="C57" s="131"/>
      <c r="D57" s="138" t="str">
        <f>IF(LEN($C57)&gt;0, VLOOKUP($C57, ToppingsT[], D$42, FALSE), "")</f>
        <v/>
      </c>
      <c r="E57" s="138" t="str">
        <f>IF(LEN($C57)&gt;0, VLOOKUP($C57, ToppingsT[], E$42, FALSE), "")</f>
        <v/>
      </c>
      <c r="F57" s="138" t="str">
        <f>IF(LEN($C57)&gt;0, VLOOKUP($C57, ToppingsT[], F$42, FALSE), "")</f>
        <v/>
      </c>
      <c r="G57" s="138" t="str">
        <f>IF(LEN($C57)&gt;0, VLOOKUP($C57, ToppingsT[], G$42, FALSE), "")</f>
        <v/>
      </c>
      <c r="H57" s="138" t="str">
        <f>IF(LEN($C57)&gt;0, VLOOKUP($C57, ToppingsT[], H$42, FALSE), "")</f>
        <v/>
      </c>
      <c r="I57" s="138" t="str">
        <f>IF(LEN($C57)&gt;0, VLOOKUP($C57, ToppingsT[], I$42, FALSE), "")</f>
        <v/>
      </c>
      <c r="J57" s="138" t="str">
        <f>IF(LEN($C57)&gt;0, VLOOKUP($C57, ToppingsT[], J$42, FALSE), "")</f>
        <v/>
      </c>
      <c r="K57" s="138" t="str">
        <f>IF(LEN($C57)&gt;0, VLOOKUP($C57, ToppingsT[], K$42, FALSE), "")</f>
        <v/>
      </c>
      <c r="L57" s="138" t="str">
        <f>IF(LEN($C57)&gt;0, VLOOKUP($C57, ToppingsT[], L$42, FALSE), "")</f>
        <v/>
      </c>
      <c r="M57" s="138" t="str">
        <f>IF(LEN($C57)&gt;0, VLOOKUP($C57, ToppingsT[], M$42, FALSE), "")</f>
        <v/>
      </c>
    </row>
    <row r="58" spans="3:13" x14ac:dyDescent="0.3">
      <c r="C58" s="131"/>
      <c r="D58" s="138" t="str">
        <f>IF(LEN($C58)&gt;0, VLOOKUP($C58, ToppingsT[], D$42, FALSE), "")</f>
        <v/>
      </c>
      <c r="E58" s="138" t="str">
        <f>IF(LEN($C58)&gt;0, VLOOKUP($C58, ToppingsT[], E$42, FALSE), "")</f>
        <v/>
      </c>
      <c r="F58" s="138" t="str">
        <f>IF(LEN($C58)&gt;0, VLOOKUP($C58, ToppingsT[], F$42, FALSE), "")</f>
        <v/>
      </c>
      <c r="G58" s="138" t="str">
        <f>IF(LEN($C58)&gt;0, VLOOKUP($C58, ToppingsT[], G$42, FALSE), "")</f>
        <v/>
      </c>
      <c r="H58" s="138" t="str">
        <f>IF(LEN($C58)&gt;0, VLOOKUP($C58, ToppingsT[], H$42, FALSE), "")</f>
        <v/>
      </c>
      <c r="I58" s="138" t="str">
        <f>IF(LEN($C58)&gt;0, VLOOKUP($C58, ToppingsT[], I$42, FALSE), "")</f>
        <v/>
      </c>
      <c r="J58" s="138" t="str">
        <f>IF(LEN($C58)&gt;0, VLOOKUP($C58, ToppingsT[], J$42, FALSE), "")</f>
        <v/>
      </c>
      <c r="K58" s="138" t="str">
        <f>IF(LEN($C58)&gt;0, VLOOKUP($C58, ToppingsT[], K$42, FALSE), "")</f>
        <v/>
      </c>
      <c r="L58" s="138" t="str">
        <f>IF(LEN($C58)&gt;0, VLOOKUP($C58, ToppingsT[], L$42, FALSE), "")</f>
        <v/>
      </c>
      <c r="M58" s="138" t="str">
        <f>IF(LEN($C58)&gt;0, VLOOKUP($C58, ToppingsT[], M$42, FALSE), "")</f>
        <v/>
      </c>
    </row>
    <row r="59" spans="3:13" x14ac:dyDescent="0.3">
      <c r="C59" s="131"/>
      <c r="D59" s="138" t="str">
        <f>IF(LEN($C59)&gt;0, VLOOKUP($C59, ToppingsT[], D$42, FALSE), "")</f>
        <v/>
      </c>
      <c r="E59" s="138" t="str">
        <f>IF(LEN($C59)&gt;0, VLOOKUP($C59, ToppingsT[], E$42, FALSE), "")</f>
        <v/>
      </c>
      <c r="F59" s="138" t="str">
        <f>IF(LEN($C59)&gt;0, VLOOKUP($C59, ToppingsT[], F$42, FALSE), "")</f>
        <v/>
      </c>
      <c r="G59" s="138" t="str">
        <f>IF(LEN($C59)&gt;0, VLOOKUP($C59, ToppingsT[], G$42, FALSE), "")</f>
        <v/>
      </c>
      <c r="H59" s="138" t="str">
        <f>IF(LEN($C59)&gt;0, VLOOKUP($C59, ToppingsT[], H$42, FALSE), "")</f>
        <v/>
      </c>
      <c r="I59" s="138" t="str">
        <f>IF(LEN($C59)&gt;0, VLOOKUP($C59, ToppingsT[], I$42, FALSE), "")</f>
        <v/>
      </c>
      <c r="J59" s="138" t="str">
        <f>IF(LEN($C59)&gt;0, VLOOKUP($C59, ToppingsT[], J$42, FALSE), "")</f>
        <v/>
      </c>
      <c r="K59" s="138" t="str">
        <f>IF(LEN($C59)&gt;0, VLOOKUP($C59, ToppingsT[], K$42, FALSE), "")</f>
        <v/>
      </c>
      <c r="L59" s="138" t="str">
        <f>IF(LEN($C59)&gt;0, VLOOKUP($C59, ToppingsT[], L$42, FALSE), "")</f>
        <v/>
      </c>
      <c r="M59" s="138" t="str">
        <f>IF(LEN($C59)&gt;0, VLOOKUP($C59, ToppingsT[], M$42, FALSE), "")</f>
        <v/>
      </c>
    </row>
    <row r="60" spans="3:13" x14ac:dyDescent="0.3">
      <c r="C60" s="131"/>
      <c r="D60" s="138" t="str">
        <f>IF(LEN($C60)&gt;0, VLOOKUP($C60, ToppingsT[], D$42, FALSE), "")</f>
        <v/>
      </c>
      <c r="E60" s="138" t="str">
        <f>IF(LEN($C60)&gt;0, VLOOKUP($C60, ToppingsT[], E$42, FALSE), "")</f>
        <v/>
      </c>
      <c r="F60" s="138" t="str">
        <f>IF(LEN($C60)&gt;0, VLOOKUP($C60, ToppingsT[], F$42, FALSE), "")</f>
        <v/>
      </c>
      <c r="G60" s="138" t="str">
        <f>IF(LEN($C60)&gt;0, VLOOKUP($C60, ToppingsT[], G$42, FALSE), "")</f>
        <v/>
      </c>
      <c r="H60" s="138" t="str">
        <f>IF(LEN($C60)&gt;0, VLOOKUP($C60, ToppingsT[], H$42, FALSE), "")</f>
        <v/>
      </c>
      <c r="I60" s="138" t="str">
        <f>IF(LEN($C60)&gt;0, VLOOKUP($C60, ToppingsT[], I$42, FALSE), "")</f>
        <v/>
      </c>
      <c r="J60" s="138" t="str">
        <f>IF(LEN($C60)&gt;0, VLOOKUP($C60, ToppingsT[], J$42, FALSE), "")</f>
        <v/>
      </c>
      <c r="K60" s="138" t="str">
        <f>IF(LEN($C60)&gt;0, VLOOKUP($C60, ToppingsT[], K$42, FALSE), "")</f>
        <v/>
      </c>
      <c r="L60" s="138" t="str">
        <f>IF(LEN($C60)&gt;0, VLOOKUP($C60, ToppingsT[], L$42, FALSE), "")</f>
        <v/>
      </c>
      <c r="M60" s="138" t="str">
        <f>IF(LEN($C60)&gt;0, VLOOKUP($C60, ToppingsT[], M$42, FALSE), "")</f>
        <v/>
      </c>
    </row>
    <row r="61" spans="3:13" x14ac:dyDescent="0.3">
      <c r="C61" s="131"/>
      <c r="D61" s="138" t="str">
        <f>IF(LEN($C61)&gt;0, VLOOKUP($C61, ToppingsT[], D$42, FALSE), "")</f>
        <v/>
      </c>
      <c r="E61" s="138" t="str">
        <f>IF(LEN($C61)&gt;0, VLOOKUP($C61, ToppingsT[], E$42, FALSE), "")</f>
        <v/>
      </c>
      <c r="F61" s="138" t="str">
        <f>IF(LEN($C61)&gt;0, VLOOKUP($C61, ToppingsT[], F$42, FALSE), "")</f>
        <v/>
      </c>
      <c r="G61" s="138" t="str">
        <f>IF(LEN($C61)&gt;0, VLOOKUP($C61, ToppingsT[], G$42, FALSE), "")</f>
        <v/>
      </c>
      <c r="H61" s="138" t="str">
        <f>IF(LEN($C61)&gt;0, VLOOKUP($C61, ToppingsT[], H$42, FALSE), "")</f>
        <v/>
      </c>
      <c r="I61" s="138" t="str">
        <f>IF(LEN($C61)&gt;0, VLOOKUP($C61, ToppingsT[], I$42, FALSE), "")</f>
        <v/>
      </c>
      <c r="J61" s="138" t="str">
        <f>IF(LEN($C61)&gt;0, VLOOKUP($C61, ToppingsT[], J$42, FALSE), "")</f>
        <v/>
      </c>
      <c r="K61" s="138" t="str">
        <f>IF(LEN($C61)&gt;0, VLOOKUP($C61, ToppingsT[], K$42, FALSE), "")</f>
        <v/>
      </c>
      <c r="L61" s="138" t="str">
        <f>IF(LEN($C61)&gt;0, VLOOKUP($C61, ToppingsT[], L$42, FALSE), "")</f>
        <v/>
      </c>
      <c r="M61" s="138" t="str">
        <f>IF(LEN($C61)&gt;0, VLOOKUP($C61, ToppingsT[], M$42, FALSE), "")</f>
        <v/>
      </c>
    </row>
    <row r="62" spans="3:13" ht="21.5" thickBot="1" x14ac:dyDescent="0.35">
      <c r="C62" s="112" t="s">
        <v>281</v>
      </c>
      <c r="D62" s="126">
        <f t="shared" ref="D62:M62" si="8">SUM(D44:D61)</f>
        <v>0</v>
      </c>
      <c r="E62" s="126">
        <f t="shared" si="8"/>
        <v>0</v>
      </c>
      <c r="F62" s="126">
        <f t="shared" si="8"/>
        <v>0</v>
      </c>
      <c r="G62" s="126">
        <f t="shared" si="8"/>
        <v>0</v>
      </c>
      <c r="H62" s="126">
        <f t="shared" si="8"/>
        <v>0</v>
      </c>
      <c r="I62" s="126">
        <f t="shared" si="8"/>
        <v>0</v>
      </c>
      <c r="J62" s="126">
        <f t="shared" si="8"/>
        <v>0</v>
      </c>
      <c r="K62" s="126">
        <f t="shared" si="8"/>
        <v>0</v>
      </c>
      <c r="L62" s="126">
        <f t="shared" si="8"/>
        <v>0</v>
      </c>
      <c r="M62" s="127">
        <f t="shared" si="8"/>
        <v>0</v>
      </c>
    </row>
    <row r="64" spans="3:13" ht="21.5" thickBot="1" x14ac:dyDescent="0.35"/>
    <row r="65" spans="3:13" x14ac:dyDescent="0.3">
      <c r="C65" s="108"/>
      <c r="D65" s="109">
        <v>2</v>
      </c>
      <c r="E65" s="109">
        <v>3</v>
      </c>
      <c r="F65" s="109">
        <v>4</v>
      </c>
      <c r="G65" s="109">
        <v>5</v>
      </c>
      <c r="H65" s="109">
        <v>6</v>
      </c>
      <c r="I65" s="109">
        <v>7</v>
      </c>
      <c r="J65" s="109">
        <v>8</v>
      </c>
      <c r="K65" s="109">
        <v>9</v>
      </c>
      <c r="L65" s="109">
        <v>10</v>
      </c>
      <c r="M65" s="110">
        <v>11</v>
      </c>
    </row>
    <row r="66" spans="3:13" x14ac:dyDescent="0.3">
      <c r="C66" s="128" t="s">
        <v>267</v>
      </c>
      <c r="D66" s="104" t="s">
        <v>157</v>
      </c>
      <c r="E66" s="104" t="s">
        <v>158</v>
      </c>
      <c r="F66" s="104" t="s">
        <v>159</v>
      </c>
      <c r="G66" s="104" t="s">
        <v>160</v>
      </c>
      <c r="H66" s="104" t="s">
        <v>161</v>
      </c>
      <c r="I66" s="104" t="s">
        <v>162</v>
      </c>
      <c r="J66" s="104" t="s">
        <v>163</v>
      </c>
      <c r="K66" s="104" t="s">
        <v>164</v>
      </c>
      <c r="L66" s="104" t="s">
        <v>165</v>
      </c>
      <c r="M66" s="137" t="s">
        <v>166</v>
      </c>
    </row>
    <row r="67" spans="3:13" x14ac:dyDescent="0.3">
      <c r="C67" s="129" t="str" cm="1">
        <f t="array" ref="C67">_xlfn._xlws.FILTER(SelectionT[Dressings], SelectionT[Dressings]&lt;&gt;0, "")</f>
        <v/>
      </c>
      <c r="D67" s="105" t="str">
        <f>IF(LEN(C67)&gt;0, VLOOKUP($C$67, DressingT[], D$65, FALSE), "")</f>
        <v/>
      </c>
      <c r="E67" s="105" t="str">
        <f>IF(LEN(D67)&gt;0, VLOOKUP($C$67, DressingT[], E$65, FALSE), "")</f>
        <v/>
      </c>
      <c r="F67" s="105" t="str">
        <f>IF(LEN(E67)&gt;0, VLOOKUP($C$67, DressingT[], F$65, FALSE), "")</f>
        <v/>
      </c>
      <c r="G67" s="105" t="str">
        <f>IF(LEN(F67)&gt;0, VLOOKUP($C$67, DressingT[], G$65, FALSE), "")</f>
        <v/>
      </c>
      <c r="H67" s="105" t="str">
        <f>IF(LEN(G67)&gt;0, VLOOKUP($C$67, DressingT[], H$65, FALSE), "")</f>
        <v/>
      </c>
      <c r="I67" s="105" t="str">
        <f>IF(LEN(H67)&gt;0, VLOOKUP($C$67, DressingT[], I$65, FALSE), "")</f>
        <v/>
      </c>
      <c r="J67" s="105" t="str">
        <f>IF(LEN(I67)&gt;0, VLOOKUP($C$67, DressingT[], J$65, FALSE), "")</f>
        <v/>
      </c>
      <c r="K67" s="105" t="str">
        <f>IF(LEN(J67)&gt;0, VLOOKUP($C$67, DressingT[], K$65, FALSE), "")</f>
        <v/>
      </c>
      <c r="L67" s="105" t="str">
        <f>IF(LEN(K67)&gt;0, VLOOKUP($C$67, DressingT[], L$65, FALSE), "")</f>
        <v/>
      </c>
      <c r="M67" s="130" t="str">
        <f>IF(LEN(L67)&gt;0, VLOOKUP($C$67, DressingT[], M$65, FALSE), "")</f>
        <v/>
      </c>
    </row>
    <row r="68" spans="3:13" x14ac:dyDescent="0.3">
      <c r="C68" s="129"/>
      <c r="D68" s="105" t="str">
        <f>IF(LEN(C68)&gt;0, VLOOKUP($C$67, DressingT[], D$65, FALSE), "")</f>
        <v/>
      </c>
      <c r="E68" s="105" t="str">
        <f>IF(LEN(D68)&gt;0, VLOOKUP($C$67, DressingT[], E$65, FALSE), "")</f>
        <v/>
      </c>
      <c r="F68" s="105" t="str">
        <f>IF(LEN(E68)&gt;0, VLOOKUP($C$67, DressingT[], F$65, FALSE), "")</f>
        <v/>
      </c>
      <c r="G68" s="105" t="str">
        <f>IF(LEN(F68)&gt;0, VLOOKUP($C$67, DressingT[], G$65, FALSE), "")</f>
        <v/>
      </c>
      <c r="H68" s="105" t="str">
        <f>IF(LEN(G68)&gt;0, VLOOKUP($C$67, DressingT[], H$65, FALSE), "")</f>
        <v/>
      </c>
      <c r="I68" s="105" t="str">
        <f>IF(LEN(H68)&gt;0, VLOOKUP($C$67, DressingT[], I$65, FALSE), "")</f>
        <v/>
      </c>
      <c r="J68" s="105" t="str">
        <f>IF(LEN(I68)&gt;0, VLOOKUP($C$67, DressingT[], J$65, FALSE), "")</f>
        <v/>
      </c>
      <c r="K68" s="105" t="str">
        <f>IF(LEN(J68)&gt;0, VLOOKUP($C$67, DressingT[], K$65, FALSE), "")</f>
        <v/>
      </c>
      <c r="L68" s="105" t="str">
        <f>IF(LEN(K68)&gt;0, VLOOKUP($C$67, DressingT[], L$65, FALSE), "")</f>
        <v/>
      </c>
      <c r="M68" s="105" t="str">
        <f>IF(LEN(L68)&gt;0, VLOOKUP($C$67, DressingT[], M$65, FALSE), "")</f>
        <v/>
      </c>
    </row>
    <row r="69" spans="3:13" x14ac:dyDescent="0.3">
      <c r="C69" s="129"/>
      <c r="D69" s="105" t="str">
        <f>IF(LEN(C69)&gt;0, VLOOKUP($C$67, DressingT[], D$65, FALSE), "")</f>
        <v/>
      </c>
      <c r="E69" s="105" t="str">
        <f>IF(LEN(D69)&gt;0, VLOOKUP($C$67, DressingT[], E$65, FALSE), "")</f>
        <v/>
      </c>
      <c r="F69" s="105" t="str">
        <f>IF(LEN(E69)&gt;0, VLOOKUP($C$67, DressingT[], F$65, FALSE), "")</f>
        <v/>
      </c>
      <c r="G69" s="105" t="str">
        <f>IF(LEN(F69)&gt;0, VLOOKUP($C$67, DressingT[], G$65, FALSE), "")</f>
        <v/>
      </c>
      <c r="H69" s="105" t="str">
        <f>IF(LEN(G69)&gt;0, VLOOKUP($C$67, DressingT[], H$65, FALSE), "")</f>
        <v/>
      </c>
      <c r="I69" s="105" t="str">
        <f>IF(LEN(H69)&gt;0, VLOOKUP($C$67, DressingT[], I$65, FALSE), "")</f>
        <v/>
      </c>
      <c r="J69" s="105" t="str">
        <f>IF(LEN(I69)&gt;0, VLOOKUP($C$67, DressingT[], J$65, FALSE), "")</f>
        <v/>
      </c>
      <c r="K69" s="105" t="str">
        <f>IF(LEN(J69)&gt;0, VLOOKUP($C$67, DressingT[], K$65, FALSE), "")</f>
        <v/>
      </c>
      <c r="L69" s="105" t="str">
        <f>IF(LEN(K69)&gt;0, VLOOKUP($C$67, DressingT[], L$65, FALSE), "")</f>
        <v/>
      </c>
      <c r="M69" s="105" t="str">
        <f>IF(LEN(L69)&gt;0, VLOOKUP($C$67, DressingT[], M$65, FALSE), "")</f>
        <v/>
      </c>
    </row>
    <row r="70" spans="3:13" x14ac:dyDescent="0.3">
      <c r="C70" s="129"/>
      <c r="D70" s="105" t="str">
        <f>IF(LEN(C70)&gt;0, VLOOKUP($C$67, DressingT[], D$65, FALSE), "")</f>
        <v/>
      </c>
      <c r="E70" s="105" t="str">
        <f>IF(LEN(D70)&gt;0, VLOOKUP($C$67, DressingT[], E$65, FALSE), "")</f>
        <v/>
      </c>
      <c r="F70" s="105" t="str">
        <f>IF(LEN(E70)&gt;0, VLOOKUP($C$67, DressingT[], F$65, FALSE), "")</f>
        <v/>
      </c>
      <c r="G70" s="105" t="str">
        <f>IF(LEN(F70)&gt;0, VLOOKUP($C$67, DressingT[], G$65, FALSE), "")</f>
        <v/>
      </c>
      <c r="H70" s="105" t="str">
        <f>IF(LEN(G70)&gt;0, VLOOKUP($C$67, DressingT[], H$65, FALSE), "")</f>
        <v/>
      </c>
      <c r="I70" s="105" t="str">
        <f>IF(LEN(H70)&gt;0, VLOOKUP($C$67, DressingT[], I$65, FALSE), "")</f>
        <v/>
      </c>
      <c r="J70" s="105" t="str">
        <f>IF(LEN(I70)&gt;0, VLOOKUP($C$67, DressingT[], J$65, FALSE), "")</f>
        <v/>
      </c>
      <c r="K70" s="105" t="str">
        <f>IF(LEN(J70)&gt;0, VLOOKUP($C$67, DressingT[], K$65, FALSE), "")</f>
        <v/>
      </c>
      <c r="L70" s="105" t="str">
        <f>IF(LEN(K70)&gt;0, VLOOKUP($C$67, DressingT[], L$65, FALSE), "")</f>
        <v/>
      </c>
      <c r="M70" s="105" t="str">
        <f>IF(LEN(L70)&gt;0, VLOOKUP($C$67, DressingT[], M$65, FALSE), "")</f>
        <v/>
      </c>
    </row>
    <row r="71" spans="3:13" x14ac:dyDescent="0.3">
      <c r="C71" s="129"/>
      <c r="D71" s="105" t="str">
        <f>IF(LEN(C71)&gt;0, VLOOKUP($C$67, DressingT[], D$65, FALSE), "")</f>
        <v/>
      </c>
      <c r="E71" s="105" t="str">
        <f>IF(LEN(D71)&gt;0, VLOOKUP($C$67, DressingT[], E$65, FALSE), "")</f>
        <v/>
      </c>
      <c r="F71" s="105" t="str">
        <f>IF(LEN(E71)&gt;0, VLOOKUP($C$67, DressingT[], F$65, FALSE), "")</f>
        <v/>
      </c>
      <c r="G71" s="105" t="str">
        <f>IF(LEN(F71)&gt;0, VLOOKUP($C$67, DressingT[], G$65, FALSE), "")</f>
        <v/>
      </c>
      <c r="H71" s="105" t="str">
        <f>IF(LEN(G71)&gt;0, VLOOKUP($C$67, DressingT[], H$65, FALSE), "")</f>
        <v/>
      </c>
      <c r="I71" s="105" t="str">
        <f>IF(LEN(H71)&gt;0, VLOOKUP($C$67, DressingT[], I$65, FALSE), "")</f>
        <v/>
      </c>
      <c r="J71" s="105" t="str">
        <f>IF(LEN(I71)&gt;0, VLOOKUP($C$67, DressingT[], J$65, FALSE), "")</f>
        <v/>
      </c>
      <c r="K71" s="105" t="str">
        <f>IF(LEN(J71)&gt;0, VLOOKUP($C$67, DressingT[], K$65, FALSE), "")</f>
        <v/>
      </c>
      <c r="L71" s="105" t="str">
        <f>IF(LEN(K71)&gt;0, VLOOKUP($C$67, DressingT[], L$65, FALSE), "")</f>
        <v/>
      </c>
      <c r="M71" s="105" t="str">
        <f>IF(LEN(L71)&gt;0, VLOOKUP($C$67, DressingT[], M$65, FALSE), "")</f>
        <v/>
      </c>
    </row>
    <row r="72" spans="3:13" x14ac:dyDescent="0.3">
      <c r="C72" s="129"/>
      <c r="D72" s="105" t="str">
        <f>IF(LEN(C72)&gt;0, VLOOKUP($C$67, DressingT[], D$65, FALSE), "")</f>
        <v/>
      </c>
      <c r="E72" s="105" t="str">
        <f>IF(LEN(D72)&gt;0, VLOOKUP($C$67, DressingT[], E$65, FALSE), "")</f>
        <v/>
      </c>
      <c r="F72" s="105" t="str">
        <f>IF(LEN(E72)&gt;0, VLOOKUP($C$67, DressingT[], F$65, FALSE), "")</f>
        <v/>
      </c>
      <c r="G72" s="105" t="str">
        <f>IF(LEN(F72)&gt;0, VLOOKUP($C$67, DressingT[], G$65, FALSE), "")</f>
        <v/>
      </c>
      <c r="H72" s="105" t="str">
        <f>IF(LEN(G72)&gt;0, VLOOKUP($C$67, DressingT[], H$65, FALSE), "")</f>
        <v/>
      </c>
      <c r="I72" s="105" t="str">
        <f>IF(LEN(H72)&gt;0, VLOOKUP($C$67, DressingT[], I$65, FALSE), "")</f>
        <v/>
      </c>
      <c r="J72" s="105" t="str">
        <f>IF(LEN(I72)&gt;0, VLOOKUP($C$67, DressingT[], J$65, FALSE), "")</f>
        <v/>
      </c>
      <c r="K72" s="105" t="str">
        <f>IF(LEN(J72)&gt;0, VLOOKUP($C$67, DressingT[], K$65, FALSE), "")</f>
        <v/>
      </c>
      <c r="L72" s="105" t="str">
        <f>IF(LEN(K72)&gt;0, VLOOKUP($C$67, DressingT[], L$65, FALSE), "")</f>
        <v/>
      </c>
      <c r="M72" s="105" t="str">
        <f>IF(LEN(L72)&gt;0, VLOOKUP($C$67, DressingT[], M$65, FALSE), "")</f>
        <v/>
      </c>
    </row>
    <row r="73" spans="3:13" x14ac:dyDescent="0.3">
      <c r="C73" s="129"/>
      <c r="D73" s="105" t="str">
        <f>IF(LEN(C73)&gt;0, VLOOKUP($C$67, DressingT[], D$65, FALSE), "")</f>
        <v/>
      </c>
      <c r="E73" s="105" t="str">
        <f>IF(LEN(D73)&gt;0, VLOOKUP($C$67, DressingT[], E$65, FALSE), "")</f>
        <v/>
      </c>
      <c r="F73" s="105" t="str">
        <f>IF(LEN(E73)&gt;0, VLOOKUP($C$67, DressingT[], F$65, FALSE), "")</f>
        <v/>
      </c>
      <c r="G73" s="105" t="str">
        <f>IF(LEN(F73)&gt;0, VLOOKUP($C$67, DressingT[], G$65, FALSE), "")</f>
        <v/>
      </c>
      <c r="H73" s="105" t="str">
        <f>IF(LEN(G73)&gt;0, VLOOKUP($C$67, DressingT[], H$65, FALSE), "")</f>
        <v/>
      </c>
      <c r="I73" s="105" t="str">
        <f>IF(LEN(H73)&gt;0, VLOOKUP($C$67, DressingT[], I$65, FALSE), "")</f>
        <v/>
      </c>
      <c r="J73" s="105" t="str">
        <f>IF(LEN(I73)&gt;0, VLOOKUP($C$67, DressingT[], J$65, FALSE), "")</f>
        <v/>
      </c>
      <c r="K73" s="105" t="str">
        <f>IF(LEN(J73)&gt;0, VLOOKUP($C$67, DressingT[], K$65, FALSE), "")</f>
        <v/>
      </c>
      <c r="L73" s="105" t="str">
        <f>IF(LEN(K73)&gt;0, VLOOKUP($C$67, DressingT[], L$65, FALSE), "")</f>
        <v/>
      </c>
      <c r="M73" s="105" t="str">
        <f>IF(LEN(L73)&gt;0, VLOOKUP($C$67, DressingT[], M$65, FALSE), "")</f>
        <v/>
      </c>
    </row>
    <row r="74" spans="3:13" x14ac:dyDescent="0.3">
      <c r="C74" s="129"/>
      <c r="D74" s="105" t="str">
        <f>IF(LEN(C74)&gt;0, VLOOKUP($C$67, DressingT[], D$65, FALSE), "")</f>
        <v/>
      </c>
      <c r="E74" s="105" t="str">
        <f>IF(LEN(D74)&gt;0, VLOOKUP($C$67, DressingT[], E$65, FALSE), "")</f>
        <v/>
      </c>
      <c r="F74" s="105" t="str">
        <f>IF(LEN(E74)&gt;0, VLOOKUP($C$67, DressingT[], F$65, FALSE), "")</f>
        <v/>
      </c>
      <c r="G74" s="105" t="str">
        <f>IF(LEN(F74)&gt;0, VLOOKUP($C$67, DressingT[], G$65, FALSE), "")</f>
        <v/>
      </c>
      <c r="H74" s="105" t="str">
        <f>IF(LEN(G74)&gt;0, VLOOKUP($C$67, DressingT[], H$65, FALSE), "")</f>
        <v/>
      </c>
      <c r="I74" s="105" t="str">
        <f>IF(LEN(H74)&gt;0, VLOOKUP($C$67, DressingT[], I$65, FALSE), "")</f>
        <v/>
      </c>
      <c r="J74" s="105" t="str">
        <f>IF(LEN(I74)&gt;0, VLOOKUP($C$67, DressingT[], J$65, FALSE), "")</f>
        <v/>
      </c>
      <c r="K74" s="105" t="str">
        <f>IF(LEN(J74)&gt;0, VLOOKUP($C$67, DressingT[], K$65, FALSE), "")</f>
        <v/>
      </c>
      <c r="L74" s="105" t="str">
        <f>IF(LEN(K74)&gt;0, VLOOKUP($C$67, DressingT[], L$65, FALSE), "")</f>
        <v/>
      </c>
      <c r="M74" s="105" t="str">
        <f>IF(LEN(L74)&gt;0, VLOOKUP($C$67, DressingT[], M$65, FALSE), "")</f>
        <v/>
      </c>
    </row>
    <row r="75" spans="3:13" x14ac:dyDescent="0.3">
      <c r="C75" s="129"/>
      <c r="D75" s="105" t="str">
        <f>IF(LEN(C75)&gt;0, VLOOKUP($C$67, DressingT[], D$65, FALSE), "")</f>
        <v/>
      </c>
      <c r="E75" s="105" t="str">
        <f>IF(LEN(D75)&gt;0, VLOOKUP($C$67, DressingT[], E$65, FALSE), "")</f>
        <v/>
      </c>
      <c r="F75" s="105" t="str">
        <f>IF(LEN(E75)&gt;0, VLOOKUP($C$67, DressingT[], F$65, FALSE), "")</f>
        <v/>
      </c>
      <c r="G75" s="105" t="str">
        <f>IF(LEN(F75)&gt;0, VLOOKUP($C$67, DressingT[], G$65, FALSE), "")</f>
        <v/>
      </c>
      <c r="H75" s="105" t="str">
        <f>IF(LEN(G75)&gt;0, VLOOKUP($C$67, DressingT[], H$65, FALSE), "")</f>
        <v/>
      </c>
      <c r="I75" s="105" t="str">
        <f>IF(LEN(H75)&gt;0, VLOOKUP($C$67, DressingT[], I$65, FALSE), "")</f>
        <v/>
      </c>
      <c r="J75" s="105" t="str">
        <f>IF(LEN(I75)&gt;0, VLOOKUP($C$67, DressingT[], J$65, FALSE), "")</f>
        <v/>
      </c>
      <c r="K75" s="105" t="str">
        <f>IF(LEN(J75)&gt;0, VLOOKUP($C$67, DressingT[], K$65, FALSE), "")</f>
        <v/>
      </c>
      <c r="L75" s="105" t="str">
        <f>IF(LEN(K75)&gt;0, VLOOKUP($C$67, DressingT[], L$65, FALSE), "")</f>
        <v/>
      </c>
      <c r="M75" s="105" t="str">
        <f>IF(LEN(L75)&gt;0, VLOOKUP($C$67, DressingT[], M$65, FALSE), "")</f>
        <v/>
      </c>
    </row>
    <row r="76" spans="3:13" x14ac:dyDescent="0.3">
      <c r="C76" s="129"/>
      <c r="D76" s="105" t="str">
        <f>IF(LEN(C76)&gt;0, VLOOKUP($C$67, DressingT[], D$65, FALSE), "")</f>
        <v/>
      </c>
      <c r="E76" s="105" t="str">
        <f>IF(LEN(D76)&gt;0, VLOOKUP($C$67, DressingT[], E$65, FALSE), "")</f>
        <v/>
      </c>
      <c r="F76" s="105" t="str">
        <f>IF(LEN(E76)&gt;0, VLOOKUP($C$67, DressingT[], F$65, FALSE), "")</f>
        <v/>
      </c>
      <c r="G76" s="105" t="str">
        <f>IF(LEN(F76)&gt;0, VLOOKUP($C$67, DressingT[], G$65, FALSE), "")</f>
        <v/>
      </c>
      <c r="H76" s="105" t="str">
        <f>IF(LEN(G76)&gt;0, VLOOKUP($C$67, DressingT[], H$65, FALSE), "")</f>
        <v/>
      </c>
      <c r="I76" s="105" t="str">
        <f>IF(LEN(H76)&gt;0, VLOOKUP($C$67, DressingT[], I$65, FALSE), "")</f>
        <v/>
      </c>
      <c r="J76" s="105" t="str">
        <f>IF(LEN(I76)&gt;0, VLOOKUP($C$67, DressingT[], J$65, FALSE), "")</f>
        <v/>
      </c>
      <c r="K76" s="105" t="str">
        <f>IF(LEN(J76)&gt;0, VLOOKUP($C$67, DressingT[], K$65, FALSE), "")</f>
        <v/>
      </c>
      <c r="L76" s="105" t="str">
        <f>IF(LEN(K76)&gt;0, VLOOKUP($C$67, DressingT[], L$65, FALSE), "")</f>
        <v/>
      </c>
      <c r="M76" s="105" t="str">
        <f>IF(LEN(L76)&gt;0, VLOOKUP($C$67, DressingT[], M$65, FALSE), "")</f>
        <v/>
      </c>
    </row>
    <row r="77" spans="3:13" x14ac:dyDescent="0.3">
      <c r="C77" s="129"/>
      <c r="D77" s="105" t="str">
        <f>IF(LEN(C77)&gt;0, VLOOKUP($C$67, DressingT[], D$65, FALSE), "")</f>
        <v/>
      </c>
      <c r="E77" s="105" t="str">
        <f>IF(LEN(D77)&gt;0, VLOOKUP($C$67, DressingT[], E$65, FALSE), "")</f>
        <v/>
      </c>
      <c r="F77" s="105" t="str">
        <f>IF(LEN(E77)&gt;0, VLOOKUP($C$67, DressingT[], F$65, FALSE), "")</f>
        <v/>
      </c>
      <c r="G77" s="105" t="str">
        <f>IF(LEN(F77)&gt;0, VLOOKUP($C$67, DressingT[], G$65, FALSE), "")</f>
        <v/>
      </c>
      <c r="H77" s="105" t="str">
        <f>IF(LEN(G77)&gt;0, VLOOKUP($C$67, DressingT[], H$65, FALSE), "")</f>
        <v/>
      </c>
      <c r="I77" s="105" t="str">
        <f>IF(LEN(H77)&gt;0, VLOOKUP($C$67, DressingT[], I$65, FALSE), "")</f>
        <v/>
      </c>
      <c r="J77" s="105" t="str">
        <f>IF(LEN(I77)&gt;0, VLOOKUP($C$67, DressingT[], J$65, FALSE), "")</f>
        <v/>
      </c>
      <c r="K77" s="105" t="str">
        <f>IF(LEN(J77)&gt;0, VLOOKUP($C$67, DressingT[], K$65, FALSE), "")</f>
        <v/>
      </c>
      <c r="L77" s="105" t="str">
        <f>IF(LEN(K77)&gt;0, VLOOKUP($C$67, DressingT[], L$65, FALSE), "")</f>
        <v/>
      </c>
      <c r="M77" s="105" t="str">
        <f>IF(LEN(L77)&gt;0, VLOOKUP($C$67, DressingT[], M$65, FALSE), "")</f>
        <v/>
      </c>
    </row>
    <row r="78" spans="3:13" x14ac:dyDescent="0.3">
      <c r="C78" s="129"/>
      <c r="D78" s="105" t="str">
        <f>IF(LEN(C78)&gt;0, VLOOKUP($C$67, DressingT[], D$65, FALSE), "")</f>
        <v/>
      </c>
      <c r="E78" s="105" t="str">
        <f>IF(LEN(D78)&gt;0, VLOOKUP($C$67, DressingT[], E$65, FALSE), "")</f>
        <v/>
      </c>
      <c r="F78" s="105" t="str">
        <f>IF(LEN(E78)&gt;0, VLOOKUP($C$67, DressingT[], F$65, FALSE), "")</f>
        <v/>
      </c>
      <c r="G78" s="105" t="str">
        <f>IF(LEN(F78)&gt;0, VLOOKUP($C$67, DressingT[], G$65, FALSE), "")</f>
        <v/>
      </c>
      <c r="H78" s="105" t="str">
        <f>IF(LEN(G78)&gt;0, VLOOKUP($C$67, DressingT[], H$65, FALSE), "")</f>
        <v/>
      </c>
      <c r="I78" s="105" t="str">
        <f>IF(LEN(H78)&gt;0, VLOOKUP($C$67, DressingT[], I$65, FALSE), "")</f>
        <v/>
      </c>
      <c r="J78" s="105" t="str">
        <f>IF(LEN(I78)&gt;0, VLOOKUP($C$67, DressingT[], J$65, FALSE), "")</f>
        <v/>
      </c>
      <c r="K78" s="105" t="str">
        <f>IF(LEN(J78)&gt;0, VLOOKUP($C$67, DressingT[], K$65, FALSE), "")</f>
        <v/>
      </c>
      <c r="L78" s="105" t="str">
        <f>IF(LEN(K78)&gt;0, VLOOKUP($C$67, DressingT[], L$65, FALSE), "")</f>
        <v/>
      </c>
      <c r="M78" s="105" t="str">
        <f>IF(LEN(L78)&gt;0, VLOOKUP($C$67, DressingT[], M$65, FALSE), "")</f>
        <v/>
      </c>
    </row>
    <row r="79" spans="3:13" ht="21.5" thickBot="1" x14ac:dyDescent="0.35">
      <c r="C79" s="119" t="s">
        <v>281</v>
      </c>
      <c r="D79" s="120">
        <f>SUM(D67:D78)</f>
        <v>0</v>
      </c>
      <c r="E79" s="120">
        <f t="shared" ref="E79:M79" si="9">SUM(E67:E78)</f>
        <v>0</v>
      </c>
      <c r="F79" s="120">
        <f t="shared" si="9"/>
        <v>0</v>
      </c>
      <c r="G79" s="120">
        <f t="shared" si="9"/>
        <v>0</v>
      </c>
      <c r="H79" s="120">
        <f t="shared" si="9"/>
        <v>0</v>
      </c>
      <c r="I79" s="120">
        <f t="shared" si="9"/>
        <v>0</v>
      </c>
      <c r="J79" s="120">
        <f t="shared" si="9"/>
        <v>0</v>
      </c>
      <c r="K79" s="120">
        <f t="shared" si="9"/>
        <v>0</v>
      </c>
      <c r="L79" s="120">
        <f t="shared" si="9"/>
        <v>0</v>
      </c>
      <c r="M79" s="121">
        <f t="shared" si="9"/>
        <v>0</v>
      </c>
    </row>
    <row r="81" spans="3:13" ht="21.5" thickBot="1" x14ac:dyDescent="0.35"/>
    <row r="82" spans="3:13" x14ac:dyDescent="0.3">
      <c r="C82" s="108"/>
      <c r="D82" s="109">
        <v>2</v>
      </c>
      <c r="E82" s="109">
        <v>3</v>
      </c>
      <c r="F82" s="109">
        <v>4</v>
      </c>
      <c r="G82" s="109">
        <v>5</v>
      </c>
      <c r="H82" s="109">
        <v>6</v>
      </c>
      <c r="I82" s="109">
        <v>7</v>
      </c>
      <c r="J82" s="109">
        <v>8</v>
      </c>
      <c r="K82" s="109">
        <v>9</v>
      </c>
      <c r="L82" s="109">
        <v>10</v>
      </c>
      <c r="M82" s="110">
        <v>11</v>
      </c>
    </row>
    <row r="83" spans="3:13" x14ac:dyDescent="0.3">
      <c r="C83" s="124" t="s">
        <v>317</v>
      </c>
      <c r="D83" s="123" t="s">
        <v>157</v>
      </c>
      <c r="E83" s="123" t="s">
        <v>158</v>
      </c>
      <c r="F83" s="123" t="s">
        <v>159</v>
      </c>
      <c r="G83" s="123" t="s">
        <v>160</v>
      </c>
      <c r="H83" s="123" t="s">
        <v>161</v>
      </c>
      <c r="I83" s="123" t="s">
        <v>162</v>
      </c>
      <c r="J83" s="123" t="s">
        <v>163</v>
      </c>
      <c r="K83" s="123" t="s">
        <v>164</v>
      </c>
      <c r="L83" s="123" t="s">
        <v>165</v>
      </c>
      <c r="M83" s="134" t="s">
        <v>166</v>
      </c>
    </row>
    <row r="84" spans="3:13" x14ac:dyDescent="0.3">
      <c r="C84" s="125" t="str" cm="1">
        <f t="array" ref="C84">_xlfn._xlws.FILTER(SelectionT[Seasonings], SelectionT[Seasonings]&lt;&gt;0, "")</f>
        <v/>
      </c>
      <c r="D84" s="135" t="str">
        <f>IF(LEN($C84)&gt;0, VLOOKUP($C84, SeasoningT[], D$82, FALSE), "")</f>
        <v/>
      </c>
      <c r="E84" s="135" t="str">
        <f>IF(LEN($C84)&gt;0, VLOOKUP($C84, SeasoningT[], E$82, FALSE), "")</f>
        <v/>
      </c>
      <c r="F84" s="135" t="str">
        <f>IF(LEN($C84)&gt;0, VLOOKUP($C84, SeasoningT[], F$82, FALSE), "")</f>
        <v/>
      </c>
      <c r="G84" s="135" t="str">
        <f>IF(LEN($C84)&gt;0, VLOOKUP($C84, SeasoningT[], G$82, FALSE), "")</f>
        <v/>
      </c>
      <c r="H84" s="135" t="str">
        <f>IF(LEN($C84)&gt;0, VLOOKUP($C84, SeasoningT[], H$82, FALSE), "")</f>
        <v/>
      </c>
      <c r="I84" s="135" t="str">
        <f>IF(LEN($C84)&gt;0, VLOOKUP($C84, SeasoningT[], I$82, FALSE), "")</f>
        <v/>
      </c>
      <c r="J84" s="135" t="str">
        <f>IF(LEN($C84)&gt;0, VLOOKUP($C84, SeasoningT[], J$82, FALSE), "")</f>
        <v/>
      </c>
      <c r="K84" s="135" t="str">
        <f>IF(LEN($C84)&gt;0, VLOOKUP($C84, SeasoningT[], K$82, FALSE), "")</f>
        <v/>
      </c>
      <c r="L84" s="135" t="str">
        <f>IF(LEN($C84)&gt;0, VLOOKUP($C84, SeasoningT[], L$82, FALSE), "")</f>
        <v/>
      </c>
      <c r="M84" s="136" t="str">
        <f>IF(LEN($C84)&gt;0, VLOOKUP($C84, SeasoningT[], M$82, FALSE), "")</f>
        <v/>
      </c>
    </row>
    <row r="85" spans="3:13" x14ac:dyDescent="0.3">
      <c r="C85" s="125"/>
      <c r="D85" s="135" t="str">
        <f>IF(LEN($C85)&gt;0, VLOOKUP($C85, SeasoningT[], D$82, FALSE), "")</f>
        <v/>
      </c>
      <c r="E85" s="135" t="str">
        <f>IF(LEN($C85)&gt;0, VLOOKUP($C85, SeasoningT[], E$82, FALSE), "")</f>
        <v/>
      </c>
      <c r="F85" s="135" t="str">
        <f>IF(LEN($C85)&gt;0, VLOOKUP($C85, SeasoningT[], F$82, FALSE), "")</f>
        <v/>
      </c>
      <c r="G85" s="135" t="str">
        <f>IF(LEN($C85)&gt;0, VLOOKUP($C85, SeasoningT[], G$82, FALSE), "")</f>
        <v/>
      </c>
      <c r="H85" s="135" t="str">
        <f>IF(LEN($C85)&gt;0, VLOOKUP($C85, SeasoningT[], H$82, FALSE), "")</f>
        <v/>
      </c>
      <c r="I85" s="135" t="str">
        <f>IF(LEN($C85)&gt;0, VLOOKUP($C85, SeasoningT[], I$82, FALSE), "")</f>
        <v/>
      </c>
      <c r="J85" s="135" t="str">
        <f>IF(LEN($C85)&gt;0, VLOOKUP($C85, SeasoningT[], J$82, FALSE), "")</f>
        <v/>
      </c>
      <c r="K85" s="135" t="str">
        <f>IF(LEN($C85)&gt;0, VLOOKUP($C85, SeasoningT[], K$82, FALSE), "")</f>
        <v/>
      </c>
      <c r="L85" s="135" t="str">
        <f>IF(LEN($C85)&gt;0, VLOOKUP($C85, SeasoningT[], L$82, FALSE), "")</f>
        <v/>
      </c>
      <c r="M85" s="135" t="str">
        <f>IF(LEN($C85)&gt;0, VLOOKUP($C85, SeasoningT[], M$82, FALSE), "")</f>
        <v/>
      </c>
    </row>
    <row r="86" spans="3:13" ht="21.5" thickBot="1" x14ac:dyDescent="0.35">
      <c r="C86" s="112" t="s">
        <v>281</v>
      </c>
      <c r="D86" s="126">
        <f>SUM(D84:D85)</f>
        <v>0</v>
      </c>
      <c r="E86" s="126">
        <f t="shared" ref="E86:M86" si="10">SUM(E84:E85)</f>
        <v>0</v>
      </c>
      <c r="F86" s="126">
        <f t="shared" si="10"/>
        <v>0</v>
      </c>
      <c r="G86" s="126">
        <f t="shared" si="10"/>
        <v>0</v>
      </c>
      <c r="H86" s="126">
        <f t="shared" si="10"/>
        <v>0</v>
      </c>
      <c r="I86" s="126">
        <f t="shared" si="10"/>
        <v>0</v>
      </c>
      <c r="J86" s="126">
        <f t="shared" si="10"/>
        <v>0</v>
      </c>
      <c r="K86" s="126">
        <f t="shared" si="10"/>
        <v>0</v>
      </c>
      <c r="L86" s="126">
        <f t="shared" si="10"/>
        <v>0</v>
      </c>
      <c r="M86" s="127">
        <f t="shared" si="10"/>
        <v>0</v>
      </c>
    </row>
    <row r="90" spans="3:13" x14ac:dyDescent="0.3">
      <c r="C90" s="193" t="s">
        <v>309</v>
      </c>
      <c r="D90" s="193"/>
    </row>
    <row r="91" spans="3:13" x14ac:dyDescent="0.3">
      <c r="C91" s="102" t="s">
        <v>157</v>
      </c>
      <c r="D91" s="103">
        <f ca="1">$D$7+$D$13+$F$31+$F$39+$D$62+$D$79+$D$86</f>
        <v>0</v>
      </c>
    </row>
    <row r="92" spans="3:13" x14ac:dyDescent="0.3">
      <c r="C92" s="102" t="s">
        <v>158</v>
      </c>
      <c r="D92" s="103">
        <f ca="1">$E$7+$E$13+$G$31+$G$39+$E$62+$E$79+$E$86</f>
        <v>0</v>
      </c>
    </row>
    <row r="93" spans="3:13" x14ac:dyDescent="0.3">
      <c r="C93" s="102" t="s">
        <v>159</v>
      </c>
      <c r="D93" s="103">
        <f ca="1">$F$7+$F$13+$H$31+$H$39+$F$62+$F$79+$F$86</f>
        <v>0</v>
      </c>
    </row>
    <row r="94" spans="3:13" x14ac:dyDescent="0.3">
      <c r="C94" s="102" t="s">
        <v>160</v>
      </c>
      <c r="D94" s="103">
        <f ca="1">$G$7+$G$13+$I$31+$I$39+$G$62+$G$79+$G$86</f>
        <v>0</v>
      </c>
    </row>
    <row r="95" spans="3:13" x14ac:dyDescent="0.3">
      <c r="C95" s="102" t="s">
        <v>161</v>
      </c>
      <c r="D95" s="103">
        <f ca="1">$H$7+$H$13+$J$31+$J$39+$H$62+$H$79+$H$86</f>
        <v>0</v>
      </c>
    </row>
    <row r="96" spans="3:13" x14ac:dyDescent="0.3">
      <c r="C96" s="102" t="s">
        <v>162</v>
      </c>
      <c r="D96" s="103">
        <f ca="1">$I$7+$I$13+$K$31+$K$39+$I$62+$I$79+$I$86</f>
        <v>0</v>
      </c>
    </row>
    <row r="97" spans="3:4" x14ac:dyDescent="0.3">
      <c r="C97" s="102" t="s">
        <v>163</v>
      </c>
      <c r="D97" s="103">
        <f ca="1">$J$7+$J$13+$L$31+$L$39+$J$62+$J$79+$J$86</f>
        <v>0</v>
      </c>
    </row>
    <row r="98" spans="3:4" x14ac:dyDescent="0.3">
      <c r="C98" s="102" t="s">
        <v>164</v>
      </c>
      <c r="D98" s="103">
        <f ca="1">$K$7+$K$13+$M$31+$M$39+$K$62+$K$79+$K$86</f>
        <v>0</v>
      </c>
    </row>
    <row r="99" spans="3:4" x14ac:dyDescent="0.3">
      <c r="C99" s="102" t="s">
        <v>165</v>
      </c>
      <c r="D99" s="103">
        <f ca="1">$L$7+$L$13+$N$31+$N$39+$L$62+$L$79+$L$86</f>
        <v>0</v>
      </c>
    </row>
    <row r="100" spans="3:4" x14ac:dyDescent="0.3">
      <c r="C100" s="102" t="s">
        <v>166</v>
      </c>
      <c r="D100" s="103">
        <f ca="1">$M$7+$M$13+$O$31+$O$39+$M$62+$M$79+$M$86</f>
        <v>0</v>
      </c>
    </row>
  </sheetData>
  <mergeCells count="11">
    <mergeCell ref="C90:D90"/>
    <mergeCell ref="M5:M6"/>
    <mergeCell ref="L5:L6"/>
    <mergeCell ref="K5:K6"/>
    <mergeCell ref="J5:J6"/>
    <mergeCell ref="I5:I6"/>
    <mergeCell ref="H5:H6"/>
    <mergeCell ref="G5:G6"/>
    <mergeCell ref="F5:F6"/>
    <mergeCell ref="E5:E6"/>
    <mergeCell ref="D5:D6"/>
  </mergeCells>
  <pageMargins left="0.7" right="0.7" top="0.75" bottom="0.75" header="0.3" footer="0.3"/>
  <pageSetup paperSize="9" orientation="portrait" horizontalDpi="300" verticalDpi="300" r:id="rId1"/>
  <legacyDrawing r:id="rId2"/>
  <tableParts count="1">
    <tablePart r:id="rId3"/>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DD54B-9B9F-4145-BA36-E4BA0CCF9F3A}">
  <sheetPr codeName="Sheet9"/>
  <dimension ref="A2:I48"/>
  <sheetViews>
    <sheetView topLeftCell="A3" zoomScale="78" zoomScaleNormal="100" workbookViewId="0">
      <selection activeCell="H31" sqref="H31:H48"/>
    </sheetView>
  </sheetViews>
  <sheetFormatPr defaultRowHeight="15.5" x14ac:dyDescent="0.3"/>
  <cols>
    <col min="1" max="1" width="31.09765625" style="10" bestFit="1" customWidth="1"/>
    <col min="2" max="2" width="17.19921875" style="10" bestFit="1" customWidth="1"/>
    <col min="3" max="3" width="18.3984375" style="10" bestFit="1" customWidth="1"/>
    <col min="4" max="4" width="22.69921875" style="10" bestFit="1" customWidth="1"/>
    <col min="5" max="5" width="27" style="10" bestFit="1" customWidth="1"/>
    <col min="6" max="6" width="16.59765625" style="10" customWidth="1"/>
    <col min="7" max="7" width="22.09765625" style="10" bestFit="1" customWidth="1"/>
    <col min="8" max="8" width="33.796875" style="10" bestFit="1" customWidth="1"/>
    <col min="9" max="9" width="16.59765625" style="10" customWidth="1"/>
    <col min="10" max="10" width="16.8984375" style="10" bestFit="1" customWidth="1"/>
    <col min="11" max="11" width="13.5" style="10" bestFit="1" customWidth="1"/>
    <col min="12" max="16384" width="8.796875" style="10"/>
  </cols>
  <sheetData>
    <row r="2" spans="1:9" ht="23.5" customHeight="1" x14ac:dyDescent="0.3">
      <c r="A2" s="195" t="s">
        <v>295</v>
      </c>
      <c r="B2" s="195"/>
      <c r="C2" s="195"/>
      <c r="D2" s="195"/>
      <c r="E2" s="195"/>
      <c r="F2" s="195"/>
      <c r="G2" s="195"/>
      <c r="H2" s="195"/>
      <c r="I2" s="195"/>
    </row>
    <row r="3" spans="1:9" ht="23.5" customHeight="1" x14ac:dyDescent="0.3">
      <c r="A3" s="195"/>
      <c r="B3" s="195"/>
      <c r="C3" s="195"/>
      <c r="D3" s="195"/>
      <c r="E3" s="195"/>
      <c r="F3" s="195"/>
      <c r="G3" s="195"/>
      <c r="H3" s="195"/>
      <c r="I3" s="195"/>
    </row>
    <row r="4" spans="1:9" ht="15.5" customHeight="1" x14ac:dyDescent="0.3"/>
    <row r="5" spans="1:9" ht="15.5" customHeight="1" x14ac:dyDescent="0.3">
      <c r="A5" s="89" t="s">
        <v>287</v>
      </c>
      <c r="B5" s="89" t="s">
        <v>288</v>
      </c>
      <c r="C5" s="89" t="s">
        <v>306</v>
      </c>
      <c r="E5" s="89" t="s">
        <v>312</v>
      </c>
      <c r="F5" s="89" t="s">
        <v>288</v>
      </c>
      <c r="H5" s="89" t="s">
        <v>293</v>
      </c>
      <c r="I5" s="89" t="s">
        <v>288</v>
      </c>
    </row>
    <row r="6" spans="1:9" x14ac:dyDescent="0.3">
      <c r="A6" s="24" t="s">
        <v>223</v>
      </c>
      <c r="B6" s="24" t="b">
        <v>0</v>
      </c>
      <c r="C6" s="24" t="str">
        <f>IF(Calculator!$B6, IF(AND(MATCH(Calculator!$A6, UI!$E:$E, 0) &gt;= 17, MATCH(Calculator!$A6, UI!$E:$E, 0) &lt;= 22), IF(ISNUMBER(VLOOKUP(Calculator!$A6, UI!$E$17:$H$22, 3, FALSE)), VLOOKUP(Calculator!$A6, UI!$E$17:$H$22, 3, FALSE), "Default"), "Default"), "")</f>
        <v/>
      </c>
      <c r="E6" s="24" t="s">
        <v>197</v>
      </c>
      <c r="F6" s="24" t="b">
        <v>0</v>
      </c>
      <c r="H6" s="24" t="s">
        <v>190</v>
      </c>
      <c r="I6" s="24" t="b">
        <v>0</v>
      </c>
    </row>
    <row r="7" spans="1:9" x14ac:dyDescent="0.3">
      <c r="A7" s="25" t="s">
        <v>252</v>
      </c>
      <c r="B7" s="25" t="b">
        <v>0</v>
      </c>
      <c r="C7" s="25" t="str">
        <f>IF(Calculator!$B7, IF(AND(MATCH(Calculator!$A7, UI!$E:$E, 0) &gt;= 17, MATCH(Calculator!$A7, UI!$E:$E, 0) &lt;= 22), IF(ISNUMBER(VLOOKUP(Calculator!$A7, UI!$E$17:$H$22, 3, FALSE)), VLOOKUP(Calculator!$A7, UI!$E$17:$H$22, 3, FALSE), "Default"), "Default"), "")</f>
        <v/>
      </c>
      <c r="E7" s="25" t="s">
        <v>198</v>
      </c>
      <c r="F7" s="25" t="b">
        <v>0</v>
      </c>
      <c r="H7" s="25" t="s">
        <v>121</v>
      </c>
      <c r="I7" s="25" t="b">
        <v>0</v>
      </c>
    </row>
    <row r="8" spans="1:9" x14ac:dyDescent="0.3">
      <c r="A8" s="24" t="s">
        <v>219</v>
      </c>
      <c r="B8" s="24" t="b">
        <v>0</v>
      </c>
      <c r="C8" s="24" t="str">
        <f>IF(Calculator!$B8, IF(AND(MATCH(Calculator!$A8, UI!$E:$E, 0) &gt;= 17, MATCH(Calculator!$A8, UI!$E:$E, 0) &lt;= 22), IF(ISNUMBER(VLOOKUP(Calculator!$A8, UI!$E$17:$H$22, 3, FALSE)), VLOOKUP(Calculator!$A8, UI!$E$17:$H$22, 3, FALSE), "Default"), "Default"), "")</f>
        <v/>
      </c>
      <c r="E8" s="24" t="s">
        <v>199</v>
      </c>
      <c r="F8" s="24" t="b">
        <v>0</v>
      </c>
      <c r="H8" s="24" t="s">
        <v>123</v>
      </c>
      <c r="I8" s="24" t="b">
        <v>0</v>
      </c>
    </row>
    <row r="9" spans="1:9" x14ac:dyDescent="0.3">
      <c r="A9" s="25" t="s">
        <v>218</v>
      </c>
      <c r="B9" s="25" t="b">
        <v>0</v>
      </c>
      <c r="C9" s="25" t="str">
        <f>IF(Calculator!$B9, IF(AND(MATCH(Calculator!$A9, UI!$E:$E, 0) &gt;= 17, MATCH(Calculator!$A9, UI!$E:$E, 0) &lt;= 22), IF(ISNUMBER(VLOOKUP(Calculator!$A9, UI!$E$17:$H$22, 3, FALSE)), VLOOKUP(Calculator!$A9, UI!$E$17:$H$22, 3, FALSE), "Default"), "Default"), "")</f>
        <v/>
      </c>
      <c r="E9" s="25" t="s">
        <v>200</v>
      </c>
      <c r="F9" s="25" t="b">
        <v>0</v>
      </c>
      <c r="H9" s="25" t="s">
        <v>124</v>
      </c>
      <c r="I9" s="25" t="b">
        <v>0</v>
      </c>
    </row>
    <row r="10" spans="1:9" x14ac:dyDescent="0.3">
      <c r="A10" s="24" t="s">
        <v>280</v>
      </c>
      <c r="B10" s="24" t="b">
        <v>0</v>
      </c>
      <c r="C10" s="24" t="str">
        <f>IF(Calculator!$B10, IF(AND(MATCH(Calculator!$A10, UI!$E:$E, 0) &gt;= 17, MATCH(Calculator!$A10, UI!$E:$E, 0) &lt;= 22), IF(ISNUMBER(VLOOKUP(Calculator!$A10, UI!$E$17:$H$22, 3, FALSE)), VLOOKUP(Calculator!$A10, UI!$E$17:$H$22, 3, FALSE), "Default"), "Default"), "")</f>
        <v/>
      </c>
      <c r="E10" s="24" t="s">
        <v>201</v>
      </c>
      <c r="F10" s="24" t="b">
        <v>0</v>
      </c>
      <c r="H10" s="24" t="s">
        <v>125</v>
      </c>
      <c r="I10" s="24" t="b">
        <v>0</v>
      </c>
    </row>
    <row r="11" spans="1:9" x14ac:dyDescent="0.3">
      <c r="A11" s="25" t="s">
        <v>212</v>
      </c>
      <c r="B11" s="25" t="b">
        <v>0</v>
      </c>
      <c r="C11" s="25" t="str">
        <f>IF(Calculator!$B11, IF(AND(MATCH(Calculator!$A11, UI!$E:$E, 0) &gt;= 17, MATCH(Calculator!$A11, UI!$E:$E, 0) &lt;= 22), IF(ISNUMBER(VLOOKUP(Calculator!$A11, UI!$E$17:$H$22, 3, FALSE)), VLOOKUP(Calculator!$A11, UI!$E$17:$H$22, 3, FALSE), "Default"), "Default"), "")</f>
        <v/>
      </c>
      <c r="E11" s="25" t="s">
        <v>202</v>
      </c>
      <c r="F11" s="25" t="b">
        <v>0</v>
      </c>
      <c r="H11" s="25" t="s">
        <v>191</v>
      </c>
      <c r="I11" s="25" t="b">
        <v>0</v>
      </c>
    </row>
    <row r="12" spans="1:9" x14ac:dyDescent="0.3">
      <c r="A12" s="24" t="s">
        <v>247</v>
      </c>
      <c r="B12" s="24" t="b">
        <v>0</v>
      </c>
      <c r="C12" s="24" t="str">
        <f>IF(Calculator!$B12, IF(AND(MATCH(Calculator!$A12, UI!$E:$E, 0) &gt;= 17, MATCH(Calculator!$A12, UI!$E:$E, 0) &lt;= 22), IF(ISNUMBER(VLOOKUP(Calculator!$A12, UI!$E$17:$H$22, 3, FALSE)), VLOOKUP(Calculator!$A12, UI!$E$17:$H$22, 3, FALSE), "Default"), "Default"), "")</f>
        <v/>
      </c>
      <c r="E12" s="24" t="s">
        <v>203</v>
      </c>
      <c r="F12" s="24" t="b">
        <v>0</v>
      </c>
      <c r="H12" s="24" t="s">
        <v>127</v>
      </c>
      <c r="I12" s="24" t="b">
        <v>0</v>
      </c>
    </row>
    <row r="13" spans="1:9" x14ac:dyDescent="0.3">
      <c r="A13" s="25" t="s">
        <v>278</v>
      </c>
      <c r="B13" s="25" t="b">
        <v>0</v>
      </c>
      <c r="C13" s="25" t="str">
        <f>IF(Calculator!$B13, IF(AND(MATCH(Calculator!$A13, UI!$E:$E, 0) &gt;= 17, MATCH(Calculator!$A13, UI!$E:$E, 0) &lt;= 22), IF(ISNUMBER(VLOOKUP(Calculator!$A13, UI!$E$17:$H$22, 3, FALSE)), VLOOKUP(Calculator!$A13, UI!$E$17:$H$22, 3, FALSE), "Default"), "Default"), "")</f>
        <v/>
      </c>
      <c r="E13" s="25" t="s">
        <v>204</v>
      </c>
      <c r="F13" s="25" t="b">
        <v>0</v>
      </c>
      <c r="H13" s="25" t="s">
        <v>192</v>
      </c>
      <c r="I13" s="25" t="b">
        <v>0</v>
      </c>
    </row>
    <row r="14" spans="1:9" x14ac:dyDescent="0.3">
      <c r="A14" s="24" t="s">
        <v>248</v>
      </c>
      <c r="B14" s="24" t="b">
        <v>0</v>
      </c>
      <c r="C14" s="24" t="str">
        <f>IF(Calculator!$B14, IF(AND(MATCH(Calculator!$A14, UI!$E:$E, 0) &gt;= 17, MATCH(Calculator!$A14, UI!$E:$E, 0) &lt;= 22), IF(ISNUMBER(VLOOKUP(Calculator!$A14, UI!$E$17:$H$22, 3, FALSE)), VLOOKUP(Calculator!$A14, UI!$E$17:$H$22, 3, FALSE), "Default"), "Default"), "")</f>
        <v/>
      </c>
      <c r="E14" s="24" t="s">
        <v>205</v>
      </c>
      <c r="F14" s="24" t="b">
        <v>0</v>
      </c>
      <c r="H14" s="24" t="s">
        <v>193</v>
      </c>
      <c r="I14" s="24" t="b">
        <v>0</v>
      </c>
    </row>
    <row r="15" spans="1:9" x14ac:dyDescent="0.3">
      <c r="A15" s="25" t="s">
        <v>249</v>
      </c>
      <c r="B15" s="25" t="b">
        <v>0</v>
      </c>
      <c r="C15" s="25" t="str">
        <f>IF(Calculator!$B15, IF(AND(MATCH(Calculator!$A15, UI!$E:$E, 0) &gt;= 17, MATCH(Calculator!$A15, UI!$E:$E, 0) &lt;= 22), IF(ISNUMBER(VLOOKUP(Calculator!$A15, UI!$E$17:$H$22, 3, FALSE)), VLOOKUP(Calculator!$A15, UI!$E$17:$H$22, 3, FALSE), "Default"), "Default"), "")</f>
        <v/>
      </c>
      <c r="E15" s="25" t="s">
        <v>206</v>
      </c>
      <c r="F15" s="25" t="b">
        <v>0</v>
      </c>
      <c r="H15" s="25" t="s">
        <v>194</v>
      </c>
      <c r="I15" s="25" t="b">
        <v>0</v>
      </c>
    </row>
    <row r="16" spans="1:9" x14ac:dyDescent="0.3">
      <c r="A16" s="24" t="s">
        <v>250</v>
      </c>
      <c r="B16" s="24" t="b">
        <v>0</v>
      </c>
      <c r="C16" s="24" t="str">
        <f>IF(Calculator!$B16, IF(AND(MATCH(Calculator!$A16, UI!$E:$E, 0) &gt;= 17, MATCH(Calculator!$A16, UI!$E:$E, 0) &lt;= 22), IF(ISNUMBER(VLOOKUP(Calculator!$A16, UI!$E$17:$H$22, 3, FALSE)), VLOOKUP(Calculator!$A16, UI!$E$17:$H$22, 3, FALSE), "Default"), "Default"), "")</f>
        <v/>
      </c>
      <c r="E16" s="24" t="s">
        <v>207</v>
      </c>
      <c r="F16" s="24" t="b">
        <v>0</v>
      </c>
      <c r="H16" s="24" t="s">
        <v>131</v>
      </c>
      <c r="I16" s="24" t="b">
        <v>0</v>
      </c>
    </row>
    <row r="17" spans="1:9" x14ac:dyDescent="0.3">
      <c r="A17" s="25" t="s">
        <v>251</v>
      </c>
      <c r="B17" s="25" t="b">
        <v>0</v>
      </c>
      <c r="C17" s="25" t="str">
        <f>IF(Calculator!$B17, IF(AND(MATCH(Calculator!$A17, UI!$E:$E, 0) &gt;= 17, MATCH(Calculator!$A17, UI!$E:$E, 0) &lt;= 22), IF(ISNUMBER(VLOOKUP(Calculator!$A17, UI!$E$17:$H$22, 3, FALSE)), VLOOKUP(Calculator!$A17, UI!$E$17:$H$22, 3, FALSE), "Default"), "Default"), "")</f>
        <v/>
      </c>
      <c r="E17" s="25" t="s">
        <v>208</v>
      </c>
      <c r="F17" s="25" t="b">
        <v>0</v>
      </c>
      <c r="H17" s="25" t="s">
        <v>195</v>
      </c>
      <c r="I17" s="25" t="b">
        <v>0</v>
      </c>
    </row>
    <row r="18" spans="1:9" x14ac:dyDescent="0.3">
      <c r="A18" s="24" t="s">
        <v>215</v>
      </c>
      <c r="B18" s="24" t="b">
        <v>0</v>
      </c>
      <c r="C18" s="24" t="str">
        <f>IF(Calculator!$B18, IF(AND(MATCH(Calculator!$A18, UI!$E:$E, 0) &gt;= 17, MATCH(Calculator!$A18, UI!$E:$E, 0) &lt;= 22), IF(ISNUMBER(VLOOKUP(Calculator!$A18, UI!$E$17:$H$22, 3, FALSE)), VLOOKUP(Calculator!$A18, UI!$E$17:$H$22, 3, FALSE), "Default"), "Default"), "")</f>
        <v/>
      </c>
      <c r="H18" s="24" t="s">
        <v>132</v>
      </c>
      <c r="I18" s="24" t="b">
        <v>0</v>
      </c>
    </row>
    <row r="19" spans="1:9" x14ac:dyDescent="0.3">
      <c r="H19" s="25" t="s">
        <v>196</v>
      </c>
      <c r="I19" s="25" t="b">
        <v>0</v>
      </c>
    </row>
    <row r="20" spans="1:9" x14ac:dyDescent="0.3">
      <c r="A20" s="89" t="s">
        <v>289</v>
      </c>
      <c r="B20" s="89" t="s">
        <v>288</v>
      </c>
      <c r="C20" s="89" t="s">
        <v>306</v>
      </c>
      <c r="H20" s="24" t="s">
        <v>134</v>
      </c>
      <c r="I20" s="24" t="b">
        <v>0</v>
      </c>
    </row>
    <row r="21" spans="1:9" x14ac:dyDescent="0.3">
      <c r="A21" s="24" t="s">
        <v>264</v>
      </c>
      <c r="B21" s="24" t="b">
        <v>0</v>
      </c>
      <c r="C21" s="24" t="str">
        <f>IF(ISNUMBER(VLOOKUP(Calculator!$A21, UI!$E$27:$H$29, 3, FALSE)), VLOOKUP(Calculator!$A21, UI!$E$27:$H$29, 3, FALSE), "Default")</f>
        <v>Default</v>
      </c>
      <c r="E21" s="89" t="s">
        <v>359</v>
      </c>
      <c r="F21" s="89" t="s">
        <v>288</v>
      </c>
      <c r="H21" s="25" t="s">
        <v>135</v>
      </c>
      <c r="I21" s="25" t="b">
        <v>0</v>
      </c>
    </row>
    <row r="22" spans="1:9" x14ac:dyDescent="0.3">
      <c r="A22" s="25" t="s">
        <v>210</v>
      </c>
      <c r="B22" s="25" t="b">
        <v>0</v>
      </c>
      <c r="C22" s="25" t="str">
        <f>IF(ISNUMBER(VLOOKUP(Calculator!$A22, UI!$E$27:$H$29, 3, FALSE)), VLOOKUP(Calculator!$A22, UI!$E$27:$H$29, 3, FALSE), "Default")</f>
        <v>Default</v>
      </c>
      <c r="E22" s="24" t="s">
        <v>225</v>
      </c>
      <c r="F22" s="24" t="b">
        <v>0</v>
      </c>
      <c r="H22" s="24" t="s">
        <v>136</v>
      </c>
      <c r="I22" s="24" t="b">
        <v>0</v>
      </c>
    </row>
    <row r="23" spans="1:9" x14ac:dyDescent="0.3">
      <c r="A23" s="24" t="s">
        <v>265</v>
      </c>
      <c r="B23" s="24" t="b">
        <v>0</v>
      </c>
      <c r="C23" s="24" t="str">
        <f>IF(ISNUMBER(VLOOKUP(Calculator!$A23, UI!$E$27:$H$29, 3, FALSE)), VLOOKUP(Calculator!$A23, UI!$E$27:$H$29, 3, FALSE), "Default")</f>
        <v>Default</v>
      </c>
      <c r="E23" s="25" t="s">
        <v>226</v>
      </c>
      <c r="F23" s="25" t="b">
        <v>0</v>
      </c>
      <c r="H23" s="25" t="s">
        <v>138</v>
      </c>
      <c r="I23" s="25" t="b">
        <v>0</v>
      </c>
    </row>
    <row r="26" spans="1:9" ht="23.5" customHeight="1" x14ac:dyDescent="0.3">
      <c r="A26" s="196" t="s">
        <v>297</v>
      </c>
      <c r="B26" s="196"/>
      <c r="C26" s="196"/>
      <c r="D26" s="196"/>
      <c r="E26" s="196"/>
      <c r="F26" s="196"/>
      <c r="G26" s="196"/>
      <c r="H26" s="196"/>
      <c r="I26" s="196"/>
    </row>
    <row r="27" spans="1:9" ht="23.5" customHeight="1" x14ac:dyDescent="0.3">
      <c r="A27" s="196"/>
      <c r="B27" s="196"/>
      <c r="C27" s="196"/>
      <c r="D27" s="196"/>
      <c r="E27" s="196"/>
      <c r="F27" s="196"/>
      <c r="G27" s="196"/>
      <c r="H27" s="196"/>
      <c r="I27" s="196"/>
    </row>
    <row r="28" spans="1:9" ht="23.5" customHeight="1" x14ac:dyDescent="0.3">
      <c r="A28" s="196"/>
      <c r="B28" s="196"/>
      <c r="C28" s="196"/>
      <c r="D28" s="196"/>
      <c r="E28" s="196"/>
      <c r="F28" s="196"/>
      <c r="G28" s="196"/>
      <c r="H28" s="196"/>
      <c r="I28" s="196"/>
    </row>
    <row r="30" spans="1:9" x14ac:dyDescent="0.3">
      <c r="B30" s="21" t="s">
        <v>357</v>
      </c>
      <c r="D30" s="21" t="s">
        <v>239</v>
      </c>
      <c r="E30" s="21" t="s">
        <v>263</v>
      </c>
      <c r="F30" s="21" t="s">
        <v>356</v>
      </c>
      <c r="G30" s="21" t="s">
        <v>266</v>
      </c>
      <c r="H30" s="21" t="s">
        <v>313</v>
      </c>
    </row>
    <row r="31" spans="1:9" x14ac:dyDescent="0.3">
      <c r="B31" s="96"/>
      <c r="D31" s="20" t="s">
        <v>358</v>
      </c>
      <c r="E31" s="20" t="s">
        <v>358</v>
      </c>
      <c r="F31" s="20" t="s">
        <v>358</v>
      </c>
      <c r="G31" s="20" t="s">
        <v>358</v>
      </c>
      <c r="H31" s="20" t="s">
        <v>358</v>
      </c>
    </row>
    <row r="32" spans="1:9" x14ac:dyDescent="0.3">
      <c r="B32" s="96"/>
      <c r="D32" s="20"/>
      <c r="E32" s="20"/>
      <c r="F32" s="20"/>
      <c r="G32" s="20"/>
      <c r="H32" s="20"/>
    </row>
    <row r="33" spans="2:8" x14ac:dyDescent="0.3">
      <c r="B33" s="96"/>
      <c r="D33" s="20"/>
      <c r="E33" s="20"/>
      <c r="F33" s="20"/>
      <c r="G33" s="20"/>
      <c r="H33" s="20"/>
    </row>
    <row r="34" spans="2:8" x14ac:dyDescent="0.3">
      <c r="B34" s="96"/>
      <c r="D34" s="20"/>
      <c r="E34" s="20"/>
      <c r="F34" s="20"/>
      <c r="G34" s="20"/>
      <c r="H34" s="20"/>
    </row>
    <row r="35" spans="2:8" x14ac:dyDescent="0.3">
      <c r="B35" s="96"/>
      <c r="D35" s="20"/>
      <c r="E35" s="20"/>
      <c r="F35" s="20"/>
      <c r="G35" s="20"/>
      <c r="H35" s="20"/>
    </row>
    <row r="36" spans="2:8" x14ac:dyDescent="0.3">
      <c r="B36" s="96"/>
      <c r="D36" s="20"/>
      <c r="E36" s="20"/>
      <c r="F36" s="20"/>
      <c r="G36" s="20"/>
      <c r="H36" s="20"/>
    </row>
    <row r="37" spans="2:8" ht="15.5" customHeight="1" x14ac:dyDescent="0.3">
      <c r="B37" s="96"/>
      <c r="D37" s="20"/>
      <c r="E37" s="20"/>
      <c r="F37" s="20"/>
      <c r="G37" s="20"/>
      <c r="H37" s="20"/>
    </row>
    <row r="38" spans="2:8" ht="15.5" customHeight="1" x14ac:dyDescent="0.3">
      <c r="B38" s="96"/>
      <c r="D38" s="20"/>
      <c r="E38" s="20"/>
      <c r="F38" s="20"/>
      <c r="G38" s="20"/>
      <c r="H38" s="20"/>
    </row>
    <row r="39" spans="2:8" ht="15.5" customHeight="1" x14ac:dyDescent="0.3">
      <c r="B39" s="96"/>
      <c r="D39" s="20"/>
      <c r="E39" s="20"/>
      <c r="F39" s="20"/>
      <c r="G39" s="20"/>
      <c r="H39" s="20"/>
    </row>
    <row r="40" spans="2:8" x14ac:dyDescent="0.3">
      <c r="B40" s="96"/>
      <c r="D40" s="20"/>
      <c r="E40" s="20"/>
      <c r="F40" s="20"/>
      <c r="G40" s="20"/>
      <c r="H40" s="20"/>
    </row>
    <row r="41" spans="2:8" x14ac:dyDescent="0.3">
      <c r="B41" s="96"/>
      <c r="D41" s="20"/>
      <c r="E41" s="20"/>
      <c r="F41" s="20"/>
      <c r="G41" s="20"/>
      <c r="H41" s="20"/>
    </row>
    <row r="42" spans="2:8" x14ac:dyDescent="0.3">
      <c r="B42" s="96"/>
      <c r="D42" s="20"/>
      <c r="E42" s="20"/>
      <c r="F42" s="20"/>
      <c r="G42" s="20"/>
      <c r="H42" s="20"/>
    </row>
    <row r="43" spans="2:8" x14ac:dyDescent="0.3">
      <c r="B43" s="96"/>
      <c r="D43" s="20"/>
      <c r="E43" s="20"/>
      <c r="F43" s="20"/>
      <c r="G43" s="20"/>
      <c r="H43" s="20"/>
    </row>
    <row r="44" spans="2:8" x14ac:dyDescent="0.3">
      <c r="B44" s="96"/>
      <c r="D44" s="20"/>
      <c r="E44" s="20"/>
      <c r="F44" s="20"/>
      <c r="G44" s="20"/>
      <c r="H44" s="20"/>
    </row>
    <row r="45" spans="2:8" x14ac:dyDescent="0.3">
      <c r="B45" s="96"/>
      <c r="D45" s="20"/>
      <c r="E45" s="20"/>
      <c r="F45" s="20"/>
      <c r="G45" s="20"/>
      <c r="H45" s="20"/>
    </row>
    <row r="46" spans="2:8" x14ac:dyDescent="0.3">
      <c r="B46" s="96"/>
      <c r="D46" s="20"/>
      <c r="E46" s="20"/>
      <c r="F46" s="20"/>
      <c r="G46" s="20"/>
      <c r="H46" s="20"/>
    </row>
    <row r="47" spans="2:8" x14ac:dyDescent="0.3">
      <c r="B47" s="96"/>
      <c r="D47" s="20"/>
      <c r="E47" s="20"/>
      <c r="F47" s="20"/>
      <c r="G47" s="20"/>
      <c r="H47" s="20"/>
    </row>
    <row r="48" spans="2:8" x14ac:dyDescent="0.3">
      <c r="B48" s="96"/>
      <c r="D48" s="20"/>
      <c r="E48" s="20"/>
      <c r="F48" s="20"/>
      <c r="G48" s="20"/>
      <c r="H48" s="20"/>
    </row>
  </sheetData>
  <mergeCells count="2">
    <mergeCell ref="A2:I3"/>
    <mergeCell ref="A26:I28"/>
  </mergeCells>
  <pageMargins left="0.7" right="0.7" top="0.75" bottom="0.75" header="0.3" footer="0.3"/>
  <pageSetup paperSize="9" orientation="portrait" horizontalDpi="300" verticalDpi="300" r:id="rId1"/>
  <legacyDrawing r:id="rId2"/>
  <tableParts count="6">
    <tablePart r:id="rId3"/>
    <tablePart r:id="rId4"/>
    <tablePart r:id="rId5"/>
    <tablePart r:id="rId6"/>
    <tablePart r:id="rId7"/>
    <tablePart r:id="rId8"/>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8C3BF4-3508-4B48-905C-506E42A40E0B}">
  <sheetPr codeName="Sheet10"/>
  <dimension ref="A1:A11"/>
  <sheetViews>
    <sheetView workbookViewId="0">
      <selection activeCell="A10" sqref="A10"/>
    </sheetView>
  </sheetViews>
  <sheetFormatPr defaultRowHeight="15.5" x14ac:dyDescent="0.3"/>
  <cols>
    <col min="1" max="1" width="255.69921875" style="10" bestFit="1" customWidth="1"/>
    <col min="2" max="16384" width="8.796875" style="10"/>
  </cols>
  <sheetData>
    <row r="1" spans="1:1" x14ac:dyDescent="0.3">
      <c r="A1" s="15" t="s">
        <v>285</v>
      </c>
    </row>
    <row r="2" spans="1:1" x14ac:dyDescent="0.3">
      <c r="A2" s="10" t="s">
        <v>298</v>
      </c>
    </row>
    <row r="4" spans="1:1" x14ac:dyDescent="0.3">
      <c r="A4" s="15" t="s">
        <v>308</v>
      </c>
    </row>
    <row r="5" spans="1:1" x14ac:dyDescent="0.3">
      <c r="A5" s="10" t="s">
        <v>307</v>
      </c>
    </row>
    <row r="7" spans="1:1" x14ac:dyDescent="0.3">
      <c r="A7" s="15" t="s">
        <v>333</v>
      </c>
    </row>
    <row r="8" spans="1:1" x14ac:dyDescent="0.3">
      <c r="A8" s="10" t="s">
        <v>334</v>
      </c>
    </row>
    <row r="10" spans="1:1" x14ac:dyDescent="0.3">
      <c r="A10" s="15" t="s">
        <v>285</v>
      </c>
    </row>
    <row r="11" spans="1:1" x14ac:dyDescent="0.3">
      <c r="A11" s="10" t="s">
        <v>335</v>
      </c>
    </row>
  </sheetData>
  <pageMargins left="0.7" right="0.7" top="0.75" bottom="0.75" header="0.3" footer="0.3"/>
  <pageSetup paperSize="9"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B4B2065E77FE76469C99012F3A7CC612" ma:contentTypeVersion="7" ma:contentTypeDescription="Create a new document." ma:contentTypeScope="" ma:versionID="02bde0545de8521683abc6a5fae978ea">
  <xsd:schema xmlns:xsd="http://www.w3.org/2001/XMLSchema" xmlns:xs="http://www.w3.org/2001/XMLSchema" xmlns:p="http://schemas.microsoft.com/office/2006/metadata/properties" xmlns:ns3="d3b94123-ca6f-40dc-998e-289292037784" xmlns:ns4="7c249a16-bd5c-4dfe-95c9-a81be099ee29" targetNamespace="http://schemas.microsoft.com/office/2006/metadata/properties" ma:root="true" ma:fieldsID="07717d4218288d7f30a48a45b75efe6f" ns3:_="" ns4:_="">
    <xsd:import namespace="d3b94123-ca6f-40dc-998e-289292037784"/>
    <xsd:import namespace="7c249a16-bd5c-4dfe-95c9-a81be099ee29"/>
    <xsd:element name="properties">
      <xsd:complexType>
        <xsd:sequence>
          <xsd:element name="documentManagement">
            <xsd:complexType>
              <xsd:all>
                <xsd:element ref="ns3:MediaServiceMetadata" minOccurs="0"/>
                <xsd:element ref="ns3:MediaServiceFastMetadata" minOccurs="0"/>
                <xsd:element ref="ns3:MediaServiceAutoKeyPoints" minOccurs="0"/>
                <xsd:element ref="ns3:MediaServiceKeyPoints"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3b94123-ca6f-40dc-998e-28929203778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7c249a16-bd5c-4dfe-95c9-a81be099ee29"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SharingHintHash" ma:index="14"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C604157-4499-418B-BDFA-218F9200AEEA}">
  <ds:schemaRefs>
    <ds:schemaRef ds:uri="7c249a16-bd5c-4dfe-95c9-a81be099ee29"/>
    <ds:schemaRef ds:uri="d3b94123-ca6f-40dc-998e-289292037784"/>
    <ds:schemaRef ds:uri="http://schemas.microsoft.com/office/2006/documentManagement/types"/>
    <ds:schemaRef ds:uri="http://schemas.microsoft.com/office/infopath/2007/PartnerControls"/>
    <ds:schemaRef ds:uri="http://purl.org/dc/elements/1.1/"/>
    <ds:schemaRef ds:uri="http://schemas.openxmlformats.org/package/2006/metadata/core-properties"/>
    <ds:schemaRef ds:uri="http://purl.org/dc/terms/"/>
    <ds:schemaRef ds:uri="http://schemas.microsoft.com/office/2006/metadata/properties"/>
    <ds:schemaRef ds:uri="http://www.w3.org/XML/1998/namespace"/>
    <ds:schemaRef ds:uri="http://purl.org/dc/dcmitype/"/>
  </ds:schemaRefs>
</ds:datastoreItem>
</file>

<file path=customXml/itemProps2.xml><?xml version="1.0" encoding="utf-8"?>
<ds:datastoreItem xmlns:ds="http://schemas.openxmlformats.org/officeDocument/2006/customXml" ds:itemID="{722DE202-146C-482B-BF48-3260167C053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3b94123-ca6f-40dc-998e-289292037784"/>
    <ds:schemaRef ds:uri="7c249a16-bd5c-4dfe-95c9-a81be099ee2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1EE5E4E-4212-4616-B8B3-CAD8F2FC912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OG sheet 1</vt:lpstr>
      <vt:lpstr>OG sheet 2</vt:lpstr>
      <vt:lpstr>Cleaned sheet 1</vt:lpstr>
      <vt:lpstr>Meat</vt:lpstr>
      <vt:lpstr>Cleaned sheet 2</vt:lpstr>
      <vt:lpstr>Bread</vt:lpstr>
      <vt:lpstr>Cheese</vt:lpstr>
      <vt:lpstr>Toppings</vt:lpstr>
      <vt:lpstr>Dressing</vt:lpstr>
      <vt:lpstr>Vegetables</vt:lpstr>
      <vt:lpstr>UI</vt:lpstr>
      <vt:lpstr>Nutritional Info</vt:lpstr>
      <vt:lpstr>Calculator</vt:lpstr>
      <vt:lpstr>Formulas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Jasmin Chiu</dc:creator>
  <cp:lastModifiedBy>Jasmin Chiu</cp:lastModifiedBy>
  <dcterms:created xsi:type="dcterms:W3CDTF">2022-08-07T03:16:30Z</dcterms:created>
  <dcterms:modified xsi:type="dcterms:W3CDTF">2022-10-20T13:13:25Z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0x010100B4B2065E77FE76469C99012F3A7CC612</vt:lpwstr>
  </property>
</Properties>
</file>